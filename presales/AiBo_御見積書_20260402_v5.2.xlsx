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acbokk/Workspace/obsidian/10-WORK/30. Fabbi Software/30. Oppo/1595-skrum-aibo-system/presales/"/>
    </mc:Choice>
  </mc:AlternateContent>
  <xr:revisionPtr revIDLastSave="0" documentId="13_ncr:1_{1DD882E2-1010-5848-BECB-C87D2CA9DB63}" xr6:coauthVersionLast="47" xr6:coauthVersionMax="47" xr10:uidLastSave="{00000000-0000-0000-0000-000000000000}"/>
  <bookViews>
    <workbookView xWindow="-20" yWindow="880" windowWidth="36000" windowHeight="22500" activeTab="3" xr2:uid="{00000000-000D-0000-FFFF-FFFF00000000}"/>
  </bookViews>
  <sheets>
    <sheet name="概算見積" sheetId="3" r:id="rId1"/>
    <sheet name="AI仕様書" sheetId="4" r:id="rId2"/>
    <sheet name="前提条件" sheetId="5" r:id="rId3"/>
    <sheet name="詳細見積" sheetId="1" r:id="rId4"/>
    <sheet name="カテゴリ別集計" sheetId="6" r:id="rId5"/>
    <sheet name="支払条件" sheetId="7" r:id="rId6"/>
    <sheet name="スケジュール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16" i="3" s="1"/>
  <c r="E9" i="3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B10" i="3" s="1"/>
  <c r="H5" i="1"/>
  <c r="H4" i="1"/>
  <c r="C9" i="3"/>
  <c r="D9" i="3" s="1"/>
  <c r="B9" i="3"/>
  <c r="F12" i="6"/>
  <c r="E12" i="6"/>
  <c r="D12" i="6"/>
  <c r="C12" i="6"/>
  <c r="B12" i="6"/>
  <c r="F11" i="6"/>
  <c r="E11" i="6"/>
  <c r="D11" i="6"/>
  <c r="C11" i="6"/>
  <c r="B11" i="6"/>
  <c r="D10" i="3" l="1"/>
  <c r="D12" i="3" s="1"/>
  <c r="C10" i="3"/>
  <c r="C12" i="3" s="1"/>
  <c r="E10" i="3"/>
  <c r="E12" i="3" s="1"/>
  <c r="B12" i="3"/>
  <c r="F14" i="6"/>
  <c r="E14" i="6"/>
  <c r="C14" i="6"/>
  <c r="D14" i="6"/>
  <c r="B14" i="6"/>
  <c r="G12" i="6"/>
  <c r="H12" i="6" s="1"/>
  <c r="G11" i="6"/>
  <c r="D13" i="3" l="1"/>
  <c r="D16" i="3" s="1"/>
  <c r="C13" i="3"/>
  <c r="C16" i="3" s="1"/>
  <c r="E13" i="3"/>
  <c r="E16" i="3" s="1"/>
  <c r="G14" i="6"/>
  <c r="I11" i="6" s="1"/>
  <c r="H11" i="6"/>
  <c r="H14" i="6" l="1"/>
  <c r="I12" i="6"/>
</calcChain>
</file>

<file path=xl/sharedStrings.xml><?xml version="1.0" encoding="utf-8"?>
<sst xmlns="http://schemas.openxmlformats.org/spreadsheetml/2006/main" count="458" uniqueCount="363">
  <si>
    <t>詳細見積書（WBSレベル）— AiBoシステム開発</t>
  </si>
  <si>
    <t>WBS ID</t>
  </si>
  <si>
    <t>カテゴリ</t>
  </si>
  <si>
    <t>機能名</t>
  </si>
  <si>
    <t>AI80%
(MD)</t>
  </si>
  <si>
    <t>AI90%
(MD)</t>
  </si>
  <si>
    <t>BE
(MD)</t>
  </si>
  <si>
    <t>FE
(MD)</t>
  </si>
  <si>
    <t>QA
(MD)</t>
  </si>
  <si>
    <t>備考</t>
  </si>
  <si>
    <t>AIBO-001</t>
  </si>
  <si>
    <t>ダッシュボード</t>
  </si>
  <si>
    <t>AIBO-002</t>
  </si>
  <si>
    <t>ファイル管理</t>
  </si>
  <si>
    <t>ファイルアップロード</t>
  </si>
  <si>
    <t>AIBO-003</t>
  </si>
  <si>
    <t>AI文書生成</t>
  </si>
  <si>
    <t>AIコンテンツ抽出</t>
  </si>
  <si>
    <t>⚠️ AI重要機能</t>
  </si>
  <si>
    <t>AIBO-004</t>
  </si>
  <si>
    <t>ファイル一覧・並替</t>
  </si>
  <si>
    <t>AIBO-005</t>
  </si>
  <si>
    <t>ファイル削除</t>
  </si>
  <si>
    <t>AIBO-006</t>
  </si>
  <si>
    <t>ファイルダウンロード</t>
  </si>
  <si>
    <t>AIBO-007</t>
  </si>
  <si>
    <t>提案書作成</t>
  </si>
  <si>
    <t>AIBO-008</t>
  </si>
  <si>
    <t>見積書作成</t>
  </si>
  <si>
    <t>AIBO-009</t>
  </si>
  <si>
    <t>請求書作成</t>
  </si>
  <si>
    <t>AIBO-010</t>
  </si>
  <si>
    <t>競合分析</t>
  </si>
  <si>
    <t>AIBO-011</t>
  </si>
  <si>
    <t>AI設定</t>
  </si>
  <si>
    <t>AIテンプレート設定</t>
  </si>
  <si>
    <t>AIBO-012</t>
  </si>
  <si>
    <t>マーケットプレイス</t>
  </si>
  <si>
    <t>AIBO-013</t>
  </si>
  <si>
    <t>設定</t>
  </si>
  <si>
    <t>ユーザ情報</t>
  </si>
  <si>
    <t>AIBO-014</t>
  </si>
  <si>
    <t>料金プラン</t>
  </si>
  <si>
    <t>AIBO-015</t>
  </si>
  <si>
    <t>通知設定</t>
  </si>
  <si>
    <t>AIBO-016</t>
  </si>
  <si>
    <t>パスワード変更</t>
  </si>
  <si>
    <t>AIBO-017</t>
  </si>
  <si>
    <t>お問合せ</t>
  </si>
  <si>
    <t>お問合せフォーム</t>
  </si>
  <si>
    <t>AIBO-018</t>
  </si>
  <si>
    <t>管理:認証</t>
  </si>
  <si>
    <t>ログイン・ログアウト</t>
  </si>
  <si>
    <t>AIBO-019</t>
  </si>
  <si>
    <t>管理:テナント</t>
  </si>
  <si>
    <t>テナント一覧・検索</t>
  </si>
  <si>
    <t>AIBO-020</t>
  </si>
  <si>
    <t>テナント作成</t>
  </si>
  <si>
    <t>AIBO-021</t>
  </si>
  <si>
    <t>テナント編集</t>
  </si>
  <si>
    <t>AIBO-022</t>
  </si>
  <si>
    <t>テナント停止・削除</t>
  </si>
  <si>
    <t>AIBO-023</t>
  </si>
  <si>
    <t>管理:プラン</t>
  </si>
  <si>
    <t>プラン一覧</t>
  </si>
  <si>
    <t>AIBO-024</t>
  </si>
  <si>
    <t>プラン編集</t>
  </si>
  <si>
    <t>S1</t>
  </si>
  <si>
    <t>Skrum</t>
  </si>
  <si>
    <t>S2</t>
  </si>
  <si>
    <t>Fabbi</t>
  </si>
  <si>
    <t>S3</t>
  </si>
  <si>
    <t>¥9,800,000</t>
  </si>
  <si>
    <t>S4</t>
  </si>
  <si>
    <t>概算見積書　— シナリオ比較</t>
  </si>
  <si>
    <t>【Skrum様】AiBoシステム</t>
  </si>
  <si>
    <t>工程</t>
  </si>
  <si>
    <t>担当説明</t>
  </si>
  <si>
    <t>Skrum:AI+BE
Fabbi:FE</t>
  </si>
  <si>
    <t>Skrum:AI
Fabbi:BE+FE</t>
  </si>
  <si>
    <t>AIパイプライン責任</t>
  </si>
  <si>
    <t>GT責任者</t>
  </si>
  <si>
    <t>GT=グラウンドトゥルース</t>
  </si>
  <si>
    <t>スコープ確定・画面設計</t>
  </si>
  <si>
    <t>API設計・DB設計</t>
  </si>
  <si>
    <t>最大工数フェーズ</t>
  </si>
  <si>
    <t>UT・機能確認</t>
  </si>
  <si>
    <t>IT・シナリオテスト</t>
  </si>
  <si>
    <t>PM / BrSE（10%）</t>
  </si>
  <si>
    <t>進捗管理・橋渡し</t>
  </si>
  <si>
    <t>合計（概算・税別）</t>
  </si>
  <si>
    <t>※±20%変動あり</t>
  </si>
  <si>
    <t>単価前提</t>
  </si>
  <si>
    <t>概算金額（税別）</t>
  </si>
  <si>
    <t>推奨</t>
  </si>
  <si>
    <t>★ 推奨</t>
  </si>
  <si>
    <t>★★ 最推奨</t>
  </si>
  <si>
    <t>★★=Fabbi全担当+HITL品質保証</t>
  </si>
  <si>
    <t>シナリオ説明</t>
  </si>
  <si>
    <t>Skrum側でAI・BEを担当。Fabbi担当はFEのみ。最小コストだが品質GTはSkrum依存。</t>
  </si>
  <si>
    <t>Skrum担当はAIパイプラインのみ。Fabbi担当はBE+FE。GT提供はSkrum。★推奨：役割明確</t>
  </si>
  <si>
    <t>Fabbi全担当（AI+BE+FE）。HITL（人間確認ループ）80%で品質保証。★★最推奨</t>
  </si>
  <si>
    <t>Fabbi全担当。90%純AI化（HITL最小）。高速だが精度リスクあり。追加QA必要。</t>
  </si>
  <si>
    <t>GT</t>
  </si>
  <si>
    <t>GT（Ground Truth）= 提案書・見積書・請求書の模範文書。S1-2はSkrum提供、S3-4はFabbi調達。</t>
  </si>
  <si>
    <t>S3推奨理由</t>
  </si>
  <si>
    <t>主要な要因</t>
  </si>
  <si>
    <t>S3が最適な理由</t>
  </si>
  <si>
    <t>品質保証</t>
  </si>
  <si>
    <t>HITL 80%でSkrum様の精度要望に対応</t>
  </si>
  <si>
    <t>AI出力の品質リスク低減</t>
  </si>
  <si>
    <t>責任明確</t>
  </si>
  <si>
    <t>Fabbi単独でGT提供可能</t>
  </si>
  <si>
    <t>Skrum様のGT調達負荷軽減</t>
  </si>
  <si>
    <t>AI仕様書 — AiBoシステム開発</t>
  </si>
  <si>
    <t>1. LLMプロバイダ選定</t>
  </si>
  <si>
    <t>項目</t>
  </si>
  <si>
    <t>代替案</t>
  </si>
  <si>
    <t>プロバイダ</t>
  </si>
  <si>
    <t>OpenAI GPT-4o</t>
  </si>
  <si>
    <t>コストパフォーマンス重視</t>
  </si>
  <si>
    <t>利用モデル</t>
  </si>
  <si>
    <t>日本語対応可</t>
  </si>
  <si>
    <t>月間推定コスト</t>
  </si>
  <si>
    <t>¥50,000〜¥150,000</t>
  </si>
  <si>
    <t>¥80,000〜¥200,000</t>
  </si>
  <si>
    <t>利用量による変動</t>
  </si>
  <si>
    <t>2. AI機能別仕様</t>
  </si>
  <si>
    <t>OCR + LLM</t>
  </si>
  <si>
    <t>95%以上</t>
  </si>
  <si>
    <t>100%（必須確認）</t>
  </si>
  <si>
    <t>GPT-4o + Template</t>
  </si>
  <si>
    <t>90%以上</t>
  </si>
  <si>
    <t>80%</t>
  </si>
  <si>
    <t>95%以上（計算）</t>
  </si>
  <si>
    <t>100%（形式）</t>
  </si>
  <si>
    <t>100%（法務確認必須）</t>
  </si>
  <si>
    <t>Web検索 + LLM要約</t>
  </si>
  <si>
    <t>70%以上</t>
  </si>
  <si>
    <t>100%（情報源確認）</t>
  </si>
  <si>
    <t>3. 前提条件</t>
  </si>
  <si>
    <t>条件</t>
  </si>
  <si>
    <t>GT（模範文書）</t>
  </si>
  <si>
    <t>Skrum様よりご提供：各種類5〜10件</t>
  </si>
  <si>
    <t>GT納期</t>
  </si>
  <si>
    <t>契約後30日以内</t>
  </si>
  <si>
    <t>POC期間</t>
  </si>
  <si>
    <t>4. リスク対策</t>
  </si>
  <si>
    <t>リスク</t>
  </si>
  <si>
    <t>対策</t>
  </si>
  <si>
    <t>担当</t>
  </si>
  <si>
    <t>LLMサービス停止</t>
  </si>
  <si>
    <t>複数プロバイダ契約可能</t>
  </si>
  <si>
    <t>精度不足</t>
  </si>
  <si>
    <t>HITLループで改善</t>
  </si>
  <si>
    <t>Fabbi + Skrum様</t>
  </si>
  <si>
    <t>コスト超過</t>
  </si>
  <si>
    <t>月間上限設定 + アラート</t>
  </si>
  <si>
    <t>前提条件・制約条件 — AiBoシステム開発</t>
  </si>
  <si>
    <t>1. 見積の範囲（スコープ）</t>
  </si>
  <si>
    <t>ユーザアプリ（Web）</t>
  </si>
  <si>
    <t>17機能（ダッシュボード・ファイル管理・AI文書生成・AI設定・設定・お問合せ）</t>
  </si>
  <si>
    <t>管理アプリ（Web）</t>
  </si>
  <si>
    <t>7機能（認証・テナント管理・プラン管理）</t>
  </si>
  <si>
    <t>合計</t>
  </si>
  <si>
    <t>24機能、詳細は「詳細見積」シート参照</t>
  </si>
  <si>
    <t>2. 含まれないもの（対象外）</t>
  </si>
  <si>
    <t>× 17画面仕様</t>
  </si>
  <si>
    <t>ポートフォリオ・コミュニティ機能（別途見積対応）</t>
  </si>
  <si>
    <t>× AI APIコスト</t>
  </si>
  <si>
    <t>OpenAI / Claude等のランタイム費用（実費精算）</t>
  </si>
  <si>
    <t>× インフラ構築</t>
  </si>
  <si>
    <t>サーバ構築・ホスティング費用（別途）</t>
  </si>
  <si>
    <t>× 運用保守</t>
  </si>
  <si>
    <t>本番稼働後の保守対応（別途契約）</t>
  </si>
  <si>
    <t>× モバイルアプリ</t>
  </si>
  <si>
    <t>iOS / Android ネイティブ対応</t>
  </si>
  <si>
    <t>× セキュリティ監査</t>
  </si>
  <si>
    <t>ISMS・ペネトレーションテスト等</t>
  </si>
  <si>
    <t>○ 要件確定</t>
  </si>
  <si>
    <t>見積承認後30日以内に要件を確定すること</t>
  </si>
  <si>
    <t>○ Figmaデザイン</t>
  </si>
  <si>
    <t>開発開始前に確定版デザインを提供いただくこと</t>
  </si>
  <si>
    <t>○ テスト環境</t>
  </si>
  <si>
    <t>テスト環境はFabbi側で構築・管理</t>
  </si>
  <si>
    <t>○ LLMプロバイダ</t>
  </si>
  <si>
    <t>AI LLMの選定・契約：S1=Skrum手配、S2-S4=Fabbi手配</t>
  </si>
  <si>
    <t>○ GTサンプル</t>
  </si>
  <si>
    <t>提案書・見積書・請求書の模範文書（GT）を客先よりご提供いただくこと</t>
  </si>
  <si>
    <t>4. 確認事項（未回答）</t>
  </si>
  <si>
    <t>Q1</t>
  </si>
  <si>
    <t>AIパイプラインの責任分担（Skrum担当 vs Fabbi担当）の確定</t>
  </si>
  <si>
    <t>Q2</t>
  </si>
  <si>
    <t>AI出力の受入基準（GT定義・品質レベル・人間確認ループ割合）</t>
  </si>
  <si>
    <t>Q3</t>
  </si>
  <si>
    <t>17画面仕様（ポートフォリオ・コミュニティ）のスコープ包含可否</t>
  </si>
  <si>
    <t>Q4</t>
  </si>
  <si>
    <t>競合分析機能のデータソース（外部API・手動入力・クロール等）</t>
  </si>
  <si>
    <t>Q5</t>
  </si>
  <si>
    <t>インボイス制度対応の要否（適格請求書発行事業者登録番号等）</t>
  </si>
  <si>
    <t>5. 制約条件</t>
  </si>
  <si>
    <t>！ 見積精度</t>
  </si>
  <si>
    <t>概算見積のため±20%の変動あり。確定見積は要件定義完了後</t>
  </si>
  <si>
    <t>！ 追加要件</t>
  </si>
  <si>
    <t>スコープ外の追加要件は別途お見積り</t>
  </si>
  <si>
    <t>！ スケジュール</t>
  </si>
  <si>
    <t>着手日確定後に詳細スケジュールを提示（「スケジュール」シート参照）</t>
  </si>
  <si>
    <t>！ リソース</t>
  </si>
  <si>
    <t>S3前提：2〜3名チーム（FE×1 + BE/AI×1 + QA×0.5 + PM×0.5）</t>
  </si>
  <si>
    <t>4. 前提と仮定（確定事項）</t>
  </si>
  <si>
    <t>内容</t>
  </si>
  <si>
    <t>ステータス</t>
  </si>
  <si>
    <t>AIプロバイダ</t>
  </si>
  <si>
    <t>OpenAI GPT-4o（推奨）、変更可</t>
  </si>
  <si>
    <t>確定後契約</t>
  </si>
  <si>
    <t>Skrum様より契約後30日以内にご提供</t>
  </si>
  <si>
    <t>必須</t>
  </si>
  <si>
    <t>AI精度目標</t>
  </si>
  <si>
    <t>文書生成90%以上・コンテンツ抽出95%以上</t>
  </si>
  <si>
    <t>POC検証後確定</t>
  </si>
  <si>
    <t>競合分析データ</t>
  </si>
  <si>
    <t>手動入力＋公開情報の検索</t>
  </si>
  <si>
    <t>仕様確定時</t>
  </si>
  <si>
    <t>インボイス制度</t>
  </si>
  <si>
    <t>要対応（適格請求書番号項目実装）</t>
  </si>
  <si>
    <t>基本設計反映</t>
  </si>
  <si>
    <t>17画面仕様</t>
  </si>
  <si>
    <t>本見積対象外（別途見積）</t>
  </si>
  <si>
    <t>スコープ外</t>
  </si>
  <si>
    <t>ものづくり補助金</t>
  </si>
  <si>
    <t>本見積は補助金申請書類として使用可能</t>
  </si>
  <si>
    <t>対応済</t>
  </si>
  <si>
    <t>カテゴリ別集計</t>
  </si>
  <si>
    <t>機能数</t>
  </si>
  <si>
    <t>AI
(MD)</t>
  </si>
  <si>
    <t>合計
(MD)</t>
  </si>
  <si>
    <t>人月</t>
  </si>
  <si>
    <t>割合(%)</t>
  </si>
  <si>
    <t>100%</t>
  </si>
  <si>
    <t>64%</t>
  </si>
  <si>
    <t>86%</t>
  </si>
  <si>
    <t>3%</t>
  </si>
  <si>
    <t>29%</t>
  </si>
  <si>
    <t>7%</t>
  </si>
  <si>
    <t>0%</t>
  </si>
  <si>
    <t>100.0%</t>
  </si>
  <si>
    <t>※ AI文書生成・AI設定 の合計工数が全体の約60-70%を占める（AIパイプライン複雑度による）</t>
  </si>
  <si>
    <t>支払条件 — AiBoシステム開発</t>
  </si>
  <si>
    <t>【Skrum様】支払スケジュール</t>
  </si>
  <si>
    <t>回</t>
  </si>
  <si>
    <t>タイミング</t>
  </si>
  <si>
    <t>支払割合</t>
  </si>
  <si>
    <t>金額（税別）</t>
  </si>
  <si>
    <t>1回目</t>
  </si>
  <si>
    <t>契約時</t>
  </si>
  <si>
    <t>30%</t>
  </si>
  <si>
    <t>¥2,940,000</t>
  </si>
  <si>
    <t>契約締後5営業日以内</t>
  </si>
  <si>
    <t>2回目</t>
  </si>
  <si>
    <t>MS-04：全機能実装完了</t>
  </si>
  <si>
    <t>40%</t>
  </si>
  <si>
    <t>¥3,920,000</t>
  </si>
  <si>
    <t>コードFIX完了確認後5営業日以内</t>
  </si>
  <si>
    <t>3回目</t>
  </si>
  <si>
    <t>MS-07：受入テスト完了・納品</t>
  </si>
  <si>
    <t>UAT完了・納品物引渡後5営業日以内</t>
  </si>
  <si>
    <t>【Skrum様】提供事項</t>
  </si>
  <si>
    <t>期限</t>
  </si>
  <si>
    <t>提案書・見積書・請求書 各5〜10件</t>
  </si>
  <si>
    <t>Figmaデザイン</t>
  </si>
  <si>
    <t>確定版画面デザイン</t>
  </si>
  <si>
    <t>開発開始1週間前</t>
  </si>
  <si>
    <t>テストデータ</t>
  </si>
  <si>
    <t>各機能のテスト用データ</t>
  </si>
  <si>
    <t>結合試験開始時</t>
  </si>
  <si>
    <t>※ ものづくり補助金申請用として本見積をご利用いただけます。</t>
  </si>
  <si>
    <t>UAT実施環境（Web）</t>
  </si>
  <si>
    <t>UAT開始時</t>
  </si>
  <si>
    <t>※ 支払は銀行振込。振込手数料はSkrum様負担。</t>
  </si>
  <si>
    <t>プロジェクトスケジュール — S3シナリオ（推奨：9.8MM、約5ヶ月）</t>
  </si>
  <si>
    <t>プロジェクトスケジュール — Skrum様 AiBo (S3)</t>
  </si>
  <si>
    <t>フェーズ</t>
  </si>
  <si>
    <t>開始</t>
  </si>
  <si>
    <t>終了</t>
  </si>
  <si>
    <t>期間</t>
  </si>
  <si>
    <t>要件定義</t>
  </si>
  <si>
    <t>M1 W1</t>
  </si>
  <si>
    <t>M1 W3</t>
  </si>
  <si>
    <t>3週間</t>
  </si>
  <si>
    <t>ヒアリング・スコープ確定・要件書作成</t>
  </si>
  <si>
    <t>基本設計</t>
  </si>
  <si>
    <t>M2 W2</t>
  </si>
  <si>
    <t>アーキテクチャ・画面設計・API設計</t>
  </si>
  <si>
    <t>詳細設計</t>
  </si>
  <si>
    <t>M3 W1</t>
  </si>
  <si>
    <t>DB設計・詳細仕様・インターフェース定義</t>
  </si>
  <si>
    <t>製造（Sprint 1）</t>
  </si>
  <si>
    <t>M3 W3</t>
  </si>
  <si>
    <t>2週間</t>
  </si>
  <si>
    <t>ダッシュボード・認証・ファイル管理基盤</t>
  </si>
  <si>
    <t>製造（Sprint 2）</t>
  </si>
  <si>
    <t>M4 W2</t>
  </si>
  <si>
    <t>AI文書生成コア（提案書・見積書）</t>
  </si>
  <si>
    <t>製造（Sprint 3）</t>
  </si>
  <si>
    <t>M5 W1</t>
  </si>
  <si>
    <t>競合分析・AIテンプレート・マーケット</t>
  </si>
  <si>
    <t>製造（Sprint 4）</t>
  </si>
  <si>
    <t>M5 W2</t>
  </si>
  <si>
    <t>1週間</t>
  </si>
  <si>
    <t>管理機能・設定・バグ修正</t>
  </si>
  <si>
    <t>単体試験</t>
  </si>
  <si>
    <t>M4 W1</t>
  </si>
  <si>
    <t>M5 W3</t>
  </si>
  <si>
    <t>並行</t>
  </si>
  <si>
    <t>開発と並行実施（自動テスト + レビュー）</t>
  </si>
  <si>
    <t>結合試験</t>
  </si>
  <si>
    <t>M6 W2</t>
  </si>
  <si>
    <t>シナリオテスト・APIテスト・負荷テスト</t>
  </si>
  <si>
    <t>受入テスト支援</t>
  </si>
  <si>
    <t>M6 W4</t>
  </si>
  <si>
    <t>UAT支援・不具合対応・リリース準備</t>
  </si>
  <si>
    <t>主要マイルストーン</t>
  </si>
  <si>
    <t>MS-01</t>
  </si>
  <si>
    <t>M1 W4</t>
  </si>
  <si>
    <t>要件定義完了・スコープFIX</t>
  </si>
  <si>
    <t>MS-02</t>
  </si>
  <si>
    <t>M2 W4</t>
  </si>
  <si>
    <t>基本設計完了・画面FIX</t>
  </si>
  <si>
    <t>MS-03</t>
  </si>
  <si>
    <t>M3 W4</t>
  </si>
  <si>
    <t>詳細設計完了・DB FIX</t>
  </si>
  <si>
    <t>MS-04</t>
  </si>
  <si>
    <t>全機能実装完了（コードFIX）</t>
  </si>
  <si>
    <t>MS-05</t>
  </si>
  <si>
    <t>M5 W4</t>
  </si>
  <si>
    <t>単体試験完了</t>
  </si>
  <si>
    <t>MS-06</t>
  </si>
  <si>
    <t>M6 W3</t>
  </si>
  <si>
    <t>結合試験完了・本番候補リリース</t>
  </si>
  <si>
    <t>MS-07</t>
  </si>
  <si>
    <t>受入テスト完了・納品</t>
  </si>
  <si>
    <t>★最終マイルストーン</t>
  </si>
  <si>
    <t>※ M = 着手月（プロジェクト開始月を M1 とする相対表記）。W = 週。</t>
  </si>
  <si>
    <t>※ S3シナリオ前提：2〜3名チーム（FE×1 + BE/AI×1 + QA×0.5 + PM×0.5）</t>
  </si>
  <si>
    <t>※ 製造フェーズはアジャイル（2週スプリント）で進行。スプリントごとにデモを実施。</t>
  </si>
  <si>
    <t>※ 着手日確定後、Mを実際の暦日付に変換した詳細ガントチャートを提出可能。</t>
  </si>
  <si>
    <t>※ チーム構成：平均1.7名（FE×0.6 + BE/AI×0.8 + QA×0.3 + PM×0.5）</t>
  </si>
  <si>
    <t>※ ピーク時：製造フェーズで最大2.5名（FE×1 + BE/AI×1 + QA×0.5）</t>
  </si>
  <si>
    <t>【POC期間】基本設計完了後2週間</t>
  </si>
  <si>
    <t>目的：AI精度検証、LLM選定確認</t>
  </si>
  <si>
    <t>成果：精度レポート、最終LLM決定</t>
  </si>
  <si>
    <t>要件定義・基本設計</t>
  </si>
  <si>
    <t>Fabbi:全 
90%純AI</t>
  </si>
  <si>
    <t>製造</t>
  </si>
  <si>
    <t>QA S1
(MD)</t>
  </si>
  <si>
    <t>QA S2
(MD)</t>
  </si>
  <si>
    <t>QA S3
(MD)</t>
  </si>
  <si>
    <t>QA S4
(MD)</t>
  </si>
  <si>
    <t>Fabbi:全
80%純AI</t>
  </si>
  <si>
    <t>Anthropic Claude 4.5 Sonnet</t>
  </si>
  <si>
    <t>claude-4-5-sonnet</t>
  </si>
  <si>
    <t>gpt-5o</t>
  </si>
  <si>
    <t>基本設計完了後2週間 (精度検証用)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</si>
</sst>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&quot;MM&quot;"/>
    <numFmt numFmtId="165" formatCode="\¥#,##0"/>
    <numFmt numFmtId="166" formatCode="0.0%"/>
  </numFmts>
  <fonts count="15" x14ac:knownFonts="1">
    <font>
      <sz val="11"/>
      <color theme="1"/>
      <name val="Calibri"/>
      <family val="2"/>
      <scheme val="minor"/>
    </font>
    <font>
      <b/>
      <sz val="10"/>
      <color rgb="FF000000"/>
      <name val="Yu Gothic"/>
      <charset val="128"/>
    </font>
    <font>
      <sz val="10"/>
      <color rgb="FF000000"/>
      <name val="Yu Gothic"/>
      <charset val="128"/>
    </font>
    <font>
      <b/>
      <sz val="10"/>
      <color rgb="FFFFFFFF"/>
      <name val="Yu Gothic"/>
      <charset val="128"/>
    </font>
    <font>
      <b/>
      <sz val="11"/>
      <name val="Meiryo"/>
      <family val="2"/>
      <charset val="128"/>
    </font>
    <font>
      <b/>
      <sz val="14"/>
      <color rgb="FFFFFFFF"/>
      <name val="Yu Gothic"/>
      <charset val="128"/>
    </font>
    <font>
      <b/>
      <sz val="9"/>
      <color rgb="FF000000"/>
      <name val="Yu Gothic"/>
      <charset val="128"/>
    </font>
    <font>
      <b/>
      <sz val="11"/>
      <color rgb="FFFFFFFF"/>
      <name val="Yu Gothic"/>
      <charset val="128"/>
    </font>
    <font>
      <b/>
      <sz val="10"/>
      <color rgb="FFC62828"/>
      <name val="Yu Gothic"/>
      <charset val="128"/>
    </font>
    <font>
      <b/>
      <sz val="14"/>
      <name val="Meiryo"/>
      <family val="2"/>
      <charset val="128"/>
    </font>
    <font>
      <b/>
      <sz val="10"/>
      <name val="Meiryo"/>
      <family val="2"/>
      <charset val="128"/>
    </font>
    <font>
      <b/>
      <sz val="13"/>
      <color rgb="FFFFFFFF"/>
      <name val="Yu Gothic"/>
      <charset val="128"/>
    </font>
    <font>
      <b/>
      <sz val="11"/>
      <color rgb="FF000000"/>
      <name val="Yu Gothic"/>
      <charset val="128"/>
    </font>
    <font>
      <sz val="9"/>
      <color rgb="FF000000"/>
      <name val="Yu Gothic"/>
      <charset val="128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CCCCCC"/>
        <bgColor rgb="FFCCCCCC"/>
      </patternFill>
    </fill>
    <fill>
      <patternFill patternType="solid">
        <fgColor rgb="FFE3F2FD"/>
      </patternFill>
    </fill>
    <fill>
      <patternFill patternType="solid">
        <fgColor rgb="FFFCE4E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9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164" fontId="7" fillId="2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0" xfId="0" applyFont="1"/>
    <xf numFmtId="0" fontId="4" fillId="5" borderId="0" xfId="0" applyFont="1" applyFill="1"/>
    <xf numFmtId="0" fontId="10" fillId="6" borderId="0" xfId="0" applyFont="1" applyFill="1"/>
    <xf numFmtId="0" fontId="8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right" vertical="center"/>
    </xf>
    <xf numFmtId="166" fontId="2" fillId="4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/>
    </xf>
    <xf numFmtId="1" fontId="2" fillId="7" borderId="1" xfId="0" applyNumberFormat="1" applyFont="1" applyFill="1" applyBorder="1" applyAlignment="1">
      <alignment horizontal="center" vertical="center"/>
    </xf>
    <xf numFmtId="4" fontId="2" fillId="7" borderId="1" xfId="0" applyNumberFormat="1" applyFont="1" applyFill="1" applyBorder="1" applyAlignment="1">
      <alignment horizontal="right" vertical="center"/>
    </xf>
    <xf numFmtId="166" fontId="2" fillId="7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left" vertical="center"/>
    </xf>
    <xf numFmtId="1" fontId="2" fillId="8" borderId="1" xfId="0" applyNumberFormat="1" applyFont="1" applyFill="1" applyBorder="1" applyAlignment="1">
      <alignment horizontal="center" vertical="center"/>
    </xf>
    <xf numFmtId="4" fontId="2" fillId="8" borderId="1" xfId="0" applyNumberFormat="1" applyFont="1" applyFill="1" applyBorder="1" applyAlignment="1">
      <alignment horizontal="right" vertical="center"/>
    </xf>
    <xf numFmtId="166" fontId="2" fillId="8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4" fillId="0" borderId="0" xfId="0" applyFont="1"/>
    <xf numFmtId="0" fontId="4" fillId="0" borderId="0" xfId="0" applyFont="1"/>
    <xf numFmtId="165" fontId="1" fillId="10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5" fillId="2" borderId="0" xfId="0" applyFont="1" applyFill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>
      <selection activeCell="L15" sqref="L15"/>
    </sheetView>
  </sheetViews>
  <sheetFormatPr baseColWidth="10" defaultColWidth="8.83203125" defaultRowHeight="15" x14ac:dyDescent="0.2"/>
  <cols>
    <col min="1" max="1" width="23.1640625" customWidth="1"/>
    <col min="2" max="5" width="15.83203125" customWidth="1"/>
    <col min="6" max="6" width="28" customWidth="1"/>
  </cols>
  <sheetData>
    <row r="1" spans="1:6" ht="30" customHeight="1" x14ac:dyDescent="0.2">
      <c r="A1" s="51" t="s">
        <v>74</v>
      </c>
      <c r="B1" s="52"/>
      <c r="C1" s="52"/>
      <c r="D1" s="52"/>
      <c r="E1" s="52"/>
      <c r="F1" s="52"/>
    </row>
    <row r="2" spans="1:6" x14ac:dyDescent="0.2">
      <c r="B2" t="s">
        <v>75</v>
      </c>
    </row>
    <row r="3" spans="1:6" ht="22" customHeight="1" x14ac:dyDescent="0.2">
      <c r="A3" s="6" t="s">
        <v>76</v>
      </c>
      <c r="B3" s="6" t="s">
        <v>67</v>
      </c>
      <c r="C3" s="6" t="s">
        <v>69</v>
      </c>
      <c r="D3" s="6" t="s">
        <v>71</v>
      </c>
      <c r="E3" s="6" t="s">
        <v>73</v>
      </c>
      <c r="F3" s="6" t="s">
        <v>9</v>
      </c>
    </row>
    <row r="4" spans="1:6" ht="30" customHeight="1" x14ac:dyDescent="0.2">
      <c r="A4" s="9" t="s">
        <v>77</v>
      </c>
      <c r="B4" s="9" t="s">
        <v>78</v>
      </c>
      <c r="C4" s="9" t="s">
        <v>79</v>
      </c>
      <c r="D4" s="9" t="s">
        <v>358</v>
      </c>
      <c r="E4" s="9" t="s">
        <v>352</v>
      </c>
      <c r="F4" s="9" t="s">
        <v>80</v>
      </c>
    </row>
    <row r="5" spans="1:6" ht="18" customHeight="1" x14ac:dyDescent="0.2">
      <c r="A5" s="10" t="s">
        <v>81</v>
      </c>
      <c r="B5" s="7" t="s">
        <v>68</v>
      </c>
      <c r="C5" s="7" t="s">
        <v>68</v>
      </c>
      <c r="D5" s="7" t="s">
        <v>70</v>
      </c>
      <c r="E5" s="7" t="s">
        <v>70</v>
      </c>
      <c r="F5" s="7" t="s">
        <v>82</v>
      </c>
    </row>
    <row r="6" spans="1:6" ht="8" customHeight="1" x14ac:dyDescent="0.2"/>
    <row r="7" spans="1:6" ht="20" customHeight="1" x14ac:dyDescent="0.2">
      <c r="A7" s="5" t="s">
        <v>351</v>
      </c>
      <c r="B7" s="11">
        <v>0</v>
      </c>
      <c r="C7" s="11">
        <v>0</v>
      </c>
      <c r="D7" s="11">
        <v>0</v>
      </c>
      <c r="E7" s="11">
        <v>0</v>
      </c>
      <c r="F7" s="5" t="s">
        <v>83</v>
      </c>
    </row>
    <row r="8" spans="1:6" ht="20" customHeight="1" x14ac:dyDescent="0.2">
      <c r="A8" s="5" t="s">
        <v>293</v>
      </c>
      <c r="B8" s="11">
        <v>0</v>
      </c>
      <c r="C8" s="11">
        <v>0</v>
      </c>
      <c r="D8" s="11">
        <v>0</v>
      </c>
      <c r="E8" s="11">
        <v>0</v>
      </c>
      <c r="F8" s="5" t="s">
        <v>84</v>
      </c>
    </row>
    <row r="9" spans="1:6" ht="20" customHeight="1" x14ac:dyDescent="0.2">
      <c r="A9" s="5" t="s">
        <v>353</v>
      </c>
      <c r="B9" s="11">
        <f>SUM(詳細見積!G4:G27) / 20</f>
        <v>1.9299999999999997</v>
      </c>
      <c r="C9" s="11">
        <f>SUM(詳細見積!F4:G27)/20</f>
        <v>3.8350000000000017</v>
      </c>
      <c r="D9" s="11">
        <f>C9+SUM(詳細見積!D4:D27)/20</f>
        <v>5.3850000000000016</v>
      </c>
      <c r="E9" s="11">
        <f>C9+SUM(詳細見積!E4:E27)/20</f>
        <v>6.6350000000000016</v>
      </c>
      <c r="F9" s="5" t="s">
        <v>85</v>
      </c>
    </row>
    <row r="10" spans="1:6" ht="20" customHeight="1" x14ac:dyDescent="0.2">
      <c r="A10" s="5" t="s">
        <v>310</v>
      </c>
      <c r="B10" s="11">
        <f>SUM(詳細見積!H4:H27)/20</f>
        <v>0.96499999999999986</v>
      </c>
      <c r="C10" s="11">
        <f>SUM(詳細見積!I4:I27)/20</f>
        <v>1.7269999999999999</v>
      </c>
      <c r="D10" s="11">
        <f>SUM(詳細見積!J4:J27)/20</f>
        <v>2.6569999999999996</v>
      </c>
      <c r="E10" s="11">
        <f>SUM(詳細見積!K4:K27)/20</f>
        <v>3.4069999999999991</v>
      </c>
      <c r="F10" s="5" t="s">
        <v>86</v>
      </c>
    </row>
    <row r="11" spans="1:6" ht="20" customHeight="1" x14ac:dyDescent="0.2">
      <c r="A11" s="5" t="s">
        <v>315</v>
      </c>
      <c r="B11" s="11">
        <v>0.5</v>
      </c>
      <c r="C11" s="11">
        <v>0.3</v>
      </c>
      <c r="D11" s="11">
        <v>0.3</v>
      </c>
      <c r="E11" s="11">
        <v>0.3</v>
      </c>
      <c r="F11" s="5" t="s">
        <v>87</v>
      </c>
    </row>
    <row r="12" spans="1:6" ht="20" customHeight="1" x14ac:dyDescent="0.2">
      <c r="A12" s="5" t="s">
        <v>88</v>
      </c>
      <c r="B12" s="11">
        <f>10%*SUM(B7:B11)</f>
        <v>0.33949999999999997</v>
      </c>
      <c r="C12" s="11">
        <f>10%*SUM(C7:C11)</f>
        <v>0.58620000000000017</v>
      </c>
      <c r="D12" s="11">
        <f>10%*SUM(D7:D11)</f>
        <v>0.83420000000000027</v>
      </c>
      <c r="E12" s="11">
        <f>10%*SUM(E7:E11)</f>
        <v>1.0342000000000002</v>
      </c>
      <c r="F12" s="5" t="s">
        <v>89</v>
      </c>
    </row>
    <row r="13" spans="1:6" ht="24" customHeight="1" x14ac:dyDescent="0.2">
      <c r="A13" s="12" t="s">
        <v>90</v>
      </c>
      <c r="B13" s="13">
        <f>SUM(B7:B12)</f>
        <v>3.7344999999999997</v>
      </c>
      <c r="C13" s="13">
        <f>SUM(C7:C12)</f>
        <v>6.4482000000000008</v>
      </c>
      <c r="D13" s="13">
        <f>SUM(D7:D12)</f>
        <v>9.1762000000000032</v>
      </c>
      <c r="E13" s="13">
        <f>SUM(E7:E12)</f>
        <v>11.376200000000003</v>
      </c>
      <c r="F13" s="12" t="s">
        <v>91</v>
      </c>
    </row>
    <row r="15" spans="1:6" ht="22" customHeight="1" x14ac:dyDescent="0.2">
      <c r="A15" s="10"/>
      <c r="B15" s="10" t="s">
        <v>67</v>
      </c>
      <c r="C15" s="10" t="s">
        <v>69</v>
      </c>
      <c r="D15" s="10" t="s">
        <v>71</v>
      </c>
      <c r="E15" s="10" t="s">
        <v>73</v>
      </c>
      <c r="F15" s="10" t="s">
        <v>92</v>
      </c>
    </row>
    <row r="16" spans="1:6" ht="22" customHeight="1" x14ac:dyDescent="0.2">
      <c r="A16" s="14" t="s">
        <v>93</v>
      </c>
      <c r="B16" s="15">
        <f>B13*$F$16</f>
        <v>1493799.9999999998</v>
      </c>
      <c r="C16" s="15">
        <f>C13*$F$16</f>
        <v>2579280.0000000005</v>
      </c>
      <c r="D16" s="15">
        <f>D13*$F$16</f>
        <v>3670480.0000000014</v>
      </c>
      <c r="E16" s="15">
        <f>E13*$F$16</f>
        <v>4550480.0000000009</v>
      </c>
      <c r="F16" s="47">
        <v>400000</v>
      </c>
    </row>
    <row r="17" spans="1:6" ht="8" customHeight="1" x14ac:dyDescent="0.2"/>
    <row r="18" spans="1:6" ht="22" customHeight="1" x14ac:dyDescent="0.2">
      <c r="A18" s="16" t="s">
        <v>94</v>
      </c>
      <c r="B18" s="16"/>
      <c r="C18" s="17" t="s">
        <v>95</v>
      </c>
      <c r="D18" s="17" t="s">
        <v>96</v>
      </c>
      <c r="E18" s="16"/>
      <c r="F18" s="18" t="s">
        <v>97</v>
      </c>
    </row>
    <row r="19" spans="1:6" ht="8" customHeight="1" x14ac:dyDescent="0.2"/>
    <row r="20" spans="1:6" ht="22" customHeight="1" x14ac:dyDescent="0.2">
      <c r="A20" s="53" t="s">
        <v>98</v>
      </c>
      <c r="B20" s="49"/>
      <c r="C20" s="49"/>
      <c r="D20" s="49"/>
      <c r="E20" s="49"/>
      <c r="F20" s="50"/>
    </row>
    <row r="21" spans="1:6" ht="20" customHeight="1" x14ac:dyDescent="0.2">
      <c r="A21" s="10" t="s">
        <v>67</v>
      </c>
      <c r="B21" s="48" t="s">
        <v>99</v>
      </c>
      <c r="C21" s="49"/>
      <c r="D21" s="49"/>
      <c r="E21" s="49"/>
      <c r="F21" s="50"/>
    </row>
    <row r="22" spans="1:6" ht="20" customHeight="1" x14ac:dyDescent="0.2">
      <c r="A22" s="10" t="s">
        <v>69</v>
      </c>
      <c r="B22" s="48" t="s">
        <v>100</v>
      </c>
      <c r="C22" s="49"/>
      <c r="D22" s="49"/>
      <c r="E22" s="49"/>
      <c r="F22" s="50"/>
    </row>
    <row r="23" spans="1:6" ht="20" customHeight="1" x14ac:dyDescent="0.2">
      <c r="A23" s="10" t="s">
        <v>71</v>
      </c>
      <c r="B23" s="48" t="s">
        <v>101</v>
      </c>
      <c r="C23" s="49"/>
      <c r="D23" s="49"/>
      <c r="E23" s="49"/>
      <c r="F23" s="50"/>
    </row>
    <row r="24" spans="1:6" ht="20" customHeight="1" x14ac:dyDescent="0.2">
      <c r="A24" s="10" t="s">
        <v>73</v>
      </c>
      <c r="B24" s="48" t="s">
        <v>102</v>
      </c>
      <c r="C24" s="49"/>
      <c r="D24" s="49"/>
      <c r="E24" s="49"/>
      <c r="F24" s="50"/>
    </row>
    <row r="25" spans="1:6" ht="20" customHeight="1" x14ac:dyDescent="0.2">
      <c r="A25" s="10" t="s">
        <v>103</v>
      </c>
      <c r="B25" s="48" t="s">
        <v>104</v>
      </c>
      <c r="C25" s="49"/>
      <c r="D25" s="49"/>
      <c r="E25" s="49"/>
      <c r="F25" s="50"/>
    </row>
    <row r="27" spans="1:6" x14ac:dyDescent="0.2">
      <c r="A27" t="s">
        <v>105</v>
      </c>
      <c r="B27" t="s">
        <v>106</v>
      </c>
      <c r="D27" t="s">
        <v>107</v>
      </c>
    </row>
    <row r="28" spans="1:6" x14ac:dyDescent="0.2">
      <c r="A28" t="s">
        <v>108</v>
      </c>
      <c r="B28" t="s">
        <v>109</v>
      </c>
      <c r="D28" t="s">
        <v>110</v>
      </c>
    </row>
    <row r="29" spans="1:6" x14ac:dyDescent="0.2">
      <c r="A29" t="s">
        <v>111</v>
      </c>
      <c r="B29" t="s">
        <v>112</v>
      </c>
      <c r="D29" t="s">
        <v>113</v>
      </c>
    </row>
  </sheetData>
  <mergeCells count="7">
    <mergeCell ref="B21:F21"/>
    <mergeCell ref="B24:F24"/>
    <mergeCell ref="A1:F1"/>
    <mergeCell ref="B25:F25"/>
    <mergeCell ref="B23:F23"/>
    <mergeCell ref="B22:F22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workbookViewId="0">
      <selection activeCell="C37" sqref="C37"/>
    </sheetView>
  </sheetViews>
  <sheetFormatPr baseColWidth="10" defaultColWidth="8.83203125" defaultRowHeight="15" x14ac:dyDescent="0.2"/>
  <cols>
    <col min="1" max="1" width="30" customWidth="1"/>
    <col min="2" max="2" width="31.1640625" bestFit="1" customWidth="1"/>
    <col min="3" max="3" width="23.6640625" bestFit="1" customWidth="1"/>
    <col min="4" max="4" width="30" customWidth="1"/>
  </cols>
  <sheetData>
    <row r="1" spans="1:5" ht="23" customHeight="1" x14ac:dyDescent="0.4">
      <c r="A1" s="19" t="s">
        <v>114</v>
      </c>
      <c r="B1" s="19"/>
      <c r="C1" s="19"/>
      <c r="D1" s="19"/>
      <c r="E1" s="19"/>
    </row>
    <row r="3" spans="1:5" ht="19" customHeight="1" x14ac:dyDescent="0.35">
      <c r="A3" s="46" t="s">
        <v>115</v>
      </c>
    </row>
    <row r="4" spans="1:5" ht="17" customHeight="1" x14ac:dyDescent="0.3">
      <c r="A4" s="21" t="s">
        <v>116</v>
      </c>
      <c r="B4" s="21" t="s">
        <v>94</v>
      </c>
      <c r="C4" s="21" t="s">
        <v>117</v>
      </c>
      <c r="D4" s="21" t="s">
        <v>9</v>
      </c>
    </row>
    <row r="5" spans="1:5" x14ac:dyDescent="0.2">
      <c r="A5" t="s">
        <v>118</v>
      </c>
      <c r="B5" t="s">
        <v>119</v>
      </c>
      <c r="C5" t="s">
        <v>359</v>
      </c>
      <c r="D5" t="s">
        <v>120</v>
      </c>
    </row>
    <row r="6" spans="1:5" x14ac:dyDescent="0.2">
      <c r="A6" t="s">
        <v>121</v>
      </c>
      <c r="B6" t="s">
        <v>361</v>
      </c>
      <c r="C6" t="s">
        <v>360</v>
      </c>
      <c r="D6" t="s">
        <v>122</v>
      </c>
    </row>
    <row r="7" spans="1:5" x14ac:dyDescent="0.2">
      <c r="A7" t="s">
        <v>123</v>
      </c>
      <c r="B7" t="s">
        <v>124</v>
      </c>
      <c r="C7" t="s">
        <v>125</v>
      </c>
      <c r="D7" t="s">
        <v>126</v>
      </c>
    </row>
    <row r="8" spans="1:5" ht="19" customHeight="1" x14ac:dyDescent="0.2">
      <c r="A8" s="45"/>
    </row>
    <row r="9" spans="1:5" ht="19" x14ac:dyDescent="0.35">
      <c r="A9" s="46" t="s">
        <v>127</v>
      </c>
    </row>
    <row r="10" spans="1:5" ht="17" x14ac:dyDescent="0.3">
      <c r="A10" s="21" t="s">
        <v>116</v>
      </c>
      <c r="B10" s="21" t="s">
        <v>94</v>
      </c>
      <c r="C10" s="21" t="s">
        <v>117</v>
      </c>
      <c r="D10" s="21" t="s">
        <v>9</v>
      </c>
    </row>
    <row r="11" spans="1:5" x14ac:dyDescent="0.2">
      <c r="A11" t="s">
        <v>17</v>
      </c>
      <c r="B11" t="s">
        <v>128</v>
      </c>
      <c r="C11" t="s">
        <v>129</v>
      </c>
      <c r="D11" t="s">
        <v>130</v>
      </c>
    </row>
    <row r="12" spans="1:5" x14ac:dyDescent="0.2">
      <c r="A12" t="s">
        <v>26</v>
      </c>
      <c r="B12" t="s">
        <v>131</v>
      </c>
      <c r="C12" t="s">
        <v>132</v>
      </c>
      <c r="D12" t="s">
        <v>133</v>
      </c>
    </row>
    <row r="13" spans="1:5" ht="19" customHeight="1" x14ac:dyDescent="0.2">
      <c r="A13" t="s">
        <v>28</v>
      </c>
      <c r="B13" t="s">
        <v>131</v>
      </c>
      <c r="C13" t="s">
        <v>134</v>
      </c>
      <c r="D13" t="s">
        <v>133</v>
      </c>
    </row>
    <row r="14" spans="1:5" x14ac:dyDescent="0.2">
      <c r="A14" t="s">
        <v>30</v>
      </c>
      <c r="B14" t="s">
        <v>131</v>
      </c>
      <c r="C14" t="s">
        <v>135</v>
      </c>
      <c r="D14" t="s">
        <v>136</v>
      </c>
    </row>
    <row r="15" spans="1:5" x14ac:dyDescent="0.2">
      <c r="A15" t="s">
        <v>32</v>
      </c>
      <c r="B15" t="s">
        <v>137</v>
      </c>
      <c r="C15" t="s">
        <v>138</v>
      </c>
      <c r="D15" t="s">
        <v>139</v>
      </c>
    </row>
    <row r="17" spans="1:3" ht="19" x14ac:dyDescent="0.35">
      <c r="A17" s="46" t="s">
        <v>140</v>
      </c>
    </row>
    <row r="18" spans="1:3" ht="19" customHeight="1" x14ac:dyDescent="0.35">
      <c r="A18" s="20" t="s">
        <v>116</v>
      </c>
      <c r="B18" s="20" t="s">
        <v>116</v>
      </c>
    </row>
    <row r="19" spans="1:3" x14ac:dyDescent="0.2">
      <c r="A19" t="s">
        <v>142</v>
      </c>
      <c r="B19" t="s">
        <v>143</v>
      </c>
    </row>
    <row r="20" spans="1:3" x14ac:dyDescent="0.2">
      <c r="A20" t="s">
        <v>144</v>
      </c>
      <c r="B20" t="s">
        <v>145</v>
      </c>
    </row>
    <row r="21" spans="1:3" x14ac:dyDescent="0.2">
      <c r="A21" t="s">
        <v>146</v>
      </c>
      <c r="B21" t="s">
        <v>362</v>
      </c>
    </row>
    <row r="23" spans="1:3" ht="19" x14ac:dyDescent="0.35">
      <c r="A23" s="46" t="s">
        <v>147</v>
      </c>
    </row>
    <row r="24" spans="1:3" ht="17" x14ac:dyDescent="0.3">
      <c r="A24" s="21" t="s">
        <v>148</v>
      </c>
      <c r="B24" s="21" t="s">
        <v>149</v>
      </c>
      <c r="C24" s="21" t="s">
        <v>150</v>
      </c>
    </row>
    <row r="25" spans="1:3" x14ac:dyDescent="0.2">
      <c r="A25" t="s">
        <v>151</v>
      </c>
      <c r="B25" t="s">
        <v>152</v>
      </c>
      <c r="C25" t="s">
        <v>70</v>
      </c>
    </row>
    <row r="26" spans="1:3" x14ac:dyDescent="0.2">
      <c r="A26" t="s">
        <v>153</v>
      </c>
      <c r="B26" t="s">
        <v>154</v>
      </c>
      <c r="C26" t="s">
        <v>155</v>
      </c>
    </row>
    <row r="27" spans="1:3" x14ac:dyDescent="0.2">
      <c r="A27" t="s">
        <v>156</v>
      </c>
      <c r="B27" t="s">
        <v>157</v>
      </c>
      <c r="C27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4"/>
  <sheetViews>
    <sheetView workbookViewId="0">
      <selection sqref="A1:D1"/>
    </sheetView>
  </sheetViews>
  <sheetFormatPr baseColWidth="10" defaultColWidth="8.83203125" defaultRowHeight="15" x14ac:dyDescent="0.2"/>
  <cols>
    <col min="1" max="1" width="8" customWidth="1"/>
    <col min="2" max="2" width="20" customWidth="1"/>
    <col min="3" max="3" width="65" customWidth="1"/>
    <col min="4" max="4" width="8" customWidth="1"/>
  </cols>
  <sheetData>
    <row r="1" spans="1:4" ht="28" customHeight="1" x14ac:dyDescent="0.2">
      <c r="A1" s="54" t="s">
        <v>158</v>
      </c>
      <c r="B1" s="52"/>
      <c r="C1" s="52"/>
      <c r="D1" s="52"/>
    </row>
    <row r="2" spans="1:4" ht="6" customHeight="1" x14ac:dyDescent="0.2"/>
    <row r="3" spans="1:4" ht="22" customHeight="1" x14ac:dyDescent="0.2">
      <c r="A3" s="55" t="s">
        <v>159</v>
      </c>
      <c r="B3" s="49"/>
      <c r="C3" s="49"/>
      <c r="D3" s="50"/>
    </row>
    <row r="4" spans="1:4" ht="20" customHeight="1" x14ac:dyDescent="0.2">
      <c r="B4" s="14" t="s">
        <v>160</v>
      </c>
      <c r="C4" s="48" t="s">
        <v>161</v>
      </c>
      <c r="D4" s="50"/>
    </row>
    <row r="5" spans="1:4" ht="20" customHeight="1" x14ac:dyDescent="0.2">
      <c r="B5" s="14" t="s">
        <v>162</v>
      </c>
      <c r="C5" s="48" t="s">
        <v>163</v>
      </c>
      <c r="D5" s="50"/>
    </row>
    <row r="6" spans="1:4" ht="20" customHeight="1" x14ac:dyDescent="0.2">
      <c r="B6" s="14" t="s">
        <v>164</v>
      </c>
      <c r="C6" s="48" t="s">
        <v>165</v>
      </c>
      <c r="D6" s="50"/>
    </row>
    <row r="7" spans="1:4" ht="6" customHeight="1" x14ac:dyDescent="0.2"/>
    <row r="8" spans="1:4" ht="22" customHeight="1" x14ac:dyDescent="0.2">
      <c r="A8" s="55" t="s">
        <v>166</v>
      </c>
      <c r="B8" s="49"/>
      <c r="C8" s="49"/>
      <c r="D8" s="50"/>
    </row>
    <row r="9" spans="1:4" ht="20" customHeight="1" x14ac:dyDescent="0.2">
      <c r="B9" s="5" t="s">
        <v>167</v>
      </c>
      <c r="C9" s="48" t="s">
        <v>168</v>
      </c>
      <c r="D9" s="50"/>
    </row>
    <row r="10" spans="1:4" ht="20" customHeight="1" x14ac:dyDescent="0.2">
      <c r="B10" s="5" t="s">
        <v>169</v>
      </c>
      <c r="C10" s="48" t="s">
        <v>170</v>
      </c>
      <c r="D10" s="50"/>
    </row>
    <row r="11" spans="1:4" ht="20" customHeight="1" x14ac:dyDescent="0.2">
      <c r="B11" s="5" t="s">
        <v>171</v>
      </c>
      <c r="C11" s="48" t="s">
        <v>172</v>
      </c>
      <c r="D11" s="50"/>
    </row>
    <row r="12" spans="1:4" ht="20" customHeight="1" x14ac:dyDescent="0.2">
      <c r="B12" s="5" t="s">
        <v>173</v>
      </c>
      <c r="C12" s="48" t="s">
        <v>174</v>
      </c>
      <c r="D12" s="50"/>
    </row>
    <row r="13" spans="1:4" ht="20" customHeight="1" x14ac:dyDescent="0.2">
      <c r="B13" s="5" t="s">
        <v>175</v>
      </c>
      <c r="C13" s="48" t="s">
        <v>176</v>
      </c>
      <c r="D13" s="50"/>
    </row>
    <row r="14" spans="1:4" ht="20" customHeight="1" x14ac:dyDescent="0.2">
      <c r="B14" s="5" t="s">
        <v>177</v>
      </c>
      <c r="C14" s="48" t="s">
        <v>178</v>
      </c>
      <c r="D14" s="50"/>
    </row>
    <row r="15" spans="1:4" ht="6" customHeight="1" x14ac:dyDescent="0.2"/>
    <row r="16" spans="1:4" ht="22" customHeight="1" x14ac:dyDescent="0.2">
      <c r="A16" s="55" t="s">
        <v>140</v>
      </c>
      <c r="B16" s="49"/>
      <c r="C16" s="49"/>
      <c r="D16" s="50"/>
    </row>
    <row r="17" spans="1:4" ht="20" customHeight="1" x14ac:dyDescent="0.2">
      <c r="B17" s="5" t="s">
        <v>179</v>
      </c>
      <c r="C17" s="48" t="s">
        <v>180</v>
      </c>
      <c r="D17" s="50"/>
    </row>
    <row r="18" spans="1:4" ht="20" customHeight="1" x14ac:dyDescent="0.2">
      <c r="B18" s="5" t="s">
        <v>181</v>
      </c>
      <c r="C18" s="48" t="s">
        <v>182</v>
      </c>
      <c r="D18" s="50"/>
    </row>
    <row r="19" spans="1:4" ht="20" customHeight="1" x14ac:dyDescent="0.2">
      <c r="B19" s="5" t="s">
        <v>183</v>
      </c>
      <c r="C19" s="48" t="s">
        <v>184</v>
      </c>
      <c r="D19" s="50"/>
    </row>
    <row r="20" spans="1:4" ht="20" customHeight="1" x14ac:dyDescent="0.2">
      <c r="B20" s="5" t="s">
        <v>185</v>
      </c>
      <c r="C20" s="48" t="s">
        <v>186</v>
      </c>
      <c r="D20" s="50"/>
    </row>
    <row r="21" spans="1:4" ht="20" customHeight="1" x14ac:dyDescent="0.2">
      <c r="B21" s="5" t="s">
        <v>187</v>
      </c>
      <c r="C21" s="48" t="s">
        <v>188</v>
      </c>
      <c r="D21" s="50"/>
    </row>
    <row r="22" spans="1:4" ht="6" customHeight="1" x14ac:dyDescent="0.2"/>
    <row r="23" spans="1:4" ht="22" customHeight="1" x14ac:dyDescent="0.2">
      <c r="A23" s="55" t="s">
        <v>189</v>
      </c>
      <c r="B23" s="49"/>
      <c r="C23" s="49"/>
      <c r="D23" s="50"/>
    </row>
    <row r="24" spans="1:4" ht="20" customHeight="1" x14ac:dyDescent="0.2">
      <c r="B24" s="22" t="s">
        <v>190</v>
      </c>
      <c r="C24" s="48" t="s">
        <v>191</v>
      </c>
      <c r="D24" s="50"/>
    </row>
    <row r="25" spans="1:4" ht="20" customHeight="1" x14ac:dyDescent="0.2">
      <c r="B25" s="22" t="s">
        <v>192</v>
      </c>
      <c r="C25" s="48" t="s">
        <v>193</v>
      </c>
      <c r="D25" s="50"/>
    </row>
    <row r="26" spans="1:4" ht="20" customHeight="1" x14ac:dyDescent="0.2">
      <c r="B26" s="22" t="s">
        <v>194</v>
      </c>
      <c r="C26" s="48" t="s">
        <v>195</v>
      </c>
      <c r="D26" s="50"/>
    </row>
    <row r="27" spans="1:4" ht="20" customHeight="1" x14ac:dyDescent="0.2">
      <c r="B27" s="22" t="s">
        <v>196</v>
      </c>
      <c r="C27" s="48" t="s">
        <v>197</v>
      </c>
      <c r="D27" s="50"/>
    </row>
    <row r="28" spans="1:4" ht="20" customHeight="1" x14ac:dyDescent="0.2">
      <c r="B28" s="22" t="s">
        <v>198</v>
      </c>
      <c r="C28" s="48" t="s">
        <v>199</v>
      </c>
      <c r="D28" s="50"/>
    </row>
    <row r="29" spans="1:4" ht="6" customHeight="1" x14ac:dyDescent="0.2"/>
    <row r="30" spans="1:4" ht="22" customHeight="1" x14ac:dyDescent="0.2">
      <c r="A30" s="55" t="s">
        <v>200</v>
      </c>
      <c r="B30" s="49"/>
      <c r="C30" s="49"/>
      <c r="D30" s="50"/>
    </row>
    <row r="31" spans="1:4" ht="20" customHeight="1" x14ac:dyDescent="0.2">
      <c r="B31" s="5" t="s">
        <v>201</v>
      </c>
      <c r="C31" s="48" t="s">
        <v>202</v>
      </c>
      <c r="D31" s="50"/>
    </row>
    <row r="32" spans="1:4" ht="20" customHeight="1" x14ac:dyDescent="0.2">
      <c r="B32" s="5" t="s">
        <v>203</v>
      </c>
      <c r="C32" s="48" t="s">
        <v>204</v>
      </c>
      <c r="D32" s="50"/>
    </row>
    <row r="33" spans="1:4" ht="20" customHeight="1" x14ac:dyDescent="0.2">
      <c r="B33" s="5" t="s">
        <v>205</v>
      </c>
      <c r="C33" s="48" t="s">
        <v>206</v>
      </c>
      <c r="D33" s="50"/>
    </row>
    <row r="34" spans="1:4" ht="20" customHeight="1" x14ac:dyDescent="0.2">
      <c r="B34" s="5" t="s">
        <v>207</v>
      </c>
      <c r="C34" s="48" t="s">
        <v>208</v>
      </c>
      <c r="D34" s="50"/>
    </row>
    <row r="36" spans="1:4" x14ac:dyDescent="0.2">
      <c r="A36" t="s">
        <v>209</v>
      </c>
    </row>
    <row r="37" spans="1:4" x14ac:dyDescent="0.2">
      <c r="B37" t="s">
        <v>116</v>
      </c>
      <c r="C37" t="s">
        <v>210</v>
      </c>
      <c r="D37" t="s">
        <v>211</v>
      </c>
    </row>
    <row r="38" spans="1:4" x14ac:dyDescent="0.2">
      <c r="B38" t="s">
        <v>212</v>
      </c>
      <c r="C38" t="s">
        <v>213</v>
      </c>
      <c r="D38" t="s">
        <v>214</v>
      </c>
    </row>
    <row r="39" spans="1:4" x14ac:dyDescent="0.2">
      <c r="B39" t="s">
        <v>142</v>
      </c>
      <c r="C39" t="s">
        <v>215</v>
      </c>
      <c r="D39" t="s">
        <v>216</v>
      </c>
    </row>
    <row r="40" spans="1:4" x14ac:dyDescent="0.2">
      <c r="B40" t="s">
        <v>217</v>
      </c>
      <c r="C40" t="s">
        <v>218</v>
      </c>
      <c r="D40" t="s">
        <v>219</v>
      </c>
    </row>
    <row r="41" spans="1:4" x14ac:dyDescent="0.2">
      <c r="B41" t="s">
        <v>220</v>
      </c>
      <c r="C41" t="s">
        <v>221</v>
      </c>
      <c r="D41" t="s">
        <v>222</v>
      </c>
    </row>
    <row r="42" spans="1:4" x14ac:dyDescent="0.2">
      <c r="B42" t="s">
        <v>223</v>
      </c>
      <c r="C42" t="s">
        <v>224</v>
      </c>
      <c r="D42" t="s">
        <v>225</v>
      </c>
    </row>
    <row r="43" spans="1:4" x14ac:dyDescent="0.2">
      <c r="B43" t="s">
        <v>226</v>
      </c>
      <c r="C43" t="s">
        <v>227</v>
      </c>
      <c r="D43" t="s">
        <v>228</v>
      </c>
    </row>
    <row r="44" spans="1:4" x14ac:dyDescent="0.2">
      <c r="B44" t="s">
        <v>229</v>
      </c>
      <c r="C44" t="s">
        <v>230</v>
      </c>
      <c r="D44" t="s">
        <v>231</v>
      </c>
    </row>
  </sheetData>
  <mergeCells count="29">
    <mergeCell ref="C6:D6"/>
    <mergeCell ref="C24:D24"/>
    <mergeCell ref="A8:D8"/>
    <mergeCell ref="C33:D33"/>
    <mergeCell ref="A30:D30"/>
    <mergeCell ref="C31:D31"/>
    <mergeCell ref="C32:D32"/>
    <mergeCell ref="C28:D28"/>
    <mergeCell ref="C10:D10"/>
    <mergeCell ref="C25:D25"/>
    <mergeCell ref="C9:D9"/>
    <mergeCell ref="C34:D34"/>
    <mergeCell ref="A23:D23"/>
    <mergeCell ref="A1:D1"/>
    <mergeCell ref="C12:D12"/>
    <mergeCell ref="C21:D21"/>
    <mergeCell ref="C11:D11"/>
    <mergeCell ref="C27:D27"/>
    <mergeCell ref="A16:D16"/>
    <mergeCell ref="C17:D17"/>
    <mergeCell ref="A3:D3"/>
    <mergeCell ref="C19:D19"/>
    <mergeCell ref="C13:D13"/>
    <mergeCell ref="C18:D18"/>
    <mergeCell ref="C5:D5"/>
    <mergeCell ref="C14:D14"/>
    <mergeCell ref="C26:D26"/>
    <mergeCell ref="C4:D4"/>
    <mergeCell ref="C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28" customWidth="1"/>
    <col min="4" max="11" width="10" customWidth="1"/>
    <col min="12" max="12" width="20" customWidth="1"/>
  </cols>
  <sheetData>
    <row r="1" spans="1:12" ht="19" x14ac:dyDescent="0.25">
      <c r="A1" s="56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3" spans="1:12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354</v>
      </c>
      <c r="I3" s="1" t="s">
        <v>355</v>
      </c>
      <c r="J3" s="1" t="s">
        <v>356</v>
      </c>
      <c r="K3" s="1" t="s">
        <v>357</v>
      </c>
      <c r="L3" s="1" t="s">
        <v>9</v>
      </c>
    </row>
    <row r="4" spans="1:12" ht="17" x14ac:dyDescent="0.2">
      <c r="A4" s="2" t="s">
        <v>10</v>
      </c>
      <c r="B4" s="2" t="s">
        <v>11</v>
      </c>
      <c r="C4" s="2" t="s">
        <v>11</v>
      </c>
      <c r="D4" s="3">
        <v>0</v>
      </c>
      <c r="E4" s="3">
        <v>0</v>
      </c>
      <c r="F4" s="3">
        <v>1</v>
      </c>
      <c r="G4" s="3">
        <v>2</v>
      </c>
      <c r="H4" s="3">
        <f>50% * G4</f>
        <v>1</v>
      </c>
      <c r="I4" s="3">
        <f>50% * G4 + 40% * F4</f>
        <v>1.4</v>
      </c>
      <c r="J4" s="3">
        <f>50% * G4 + 40% * F4 + D4*60%</f>
        <v>1.4</v>
      </c>
      <c r="K4" s="3">
        <f>50% * G4 + 40% * F4 + E4*60%</f>
        <v>1.4</v>
      </c>
      <c r="L4" s="2"/>
    </row>
    <row r="5" spans="1:12" ht="17" x14ac:dyDescent="0.2">
      <c r="A5" s="2" t="s">
        <v>12</v>
      </c>
      <c r="B5" s="2" t="s">
        <v>13</v>
      </c>
      <c r="C5" s="2" t="s">
        <v>14</v>
      </c>
      <c r="D5" s="3">
        <v>0</v>
      </c>
      <c r="E5" s="3">
        <v>0</v>
      </c>
      <c r="F5" s="3">
        <v>1</v>
      </c>
      <c r="G5" s="3">
        <v>1</v>
      </c>
      <c r="H5" s="3">
        <f t="shared" ref="H5:H27" si="0">50% * G5</f>
        <v>0.5</v>
      </c>
      <c r="I5" s="3">
        <f t="shared" ref="I5:I27" si="1">50% * G5 + 40% * F5</f>
        <v>0.9</v>
      </c>
      <c r="J5" s="3">
        <f t="shared" ref="J5:J27" si="2">50% * G5 + 40% * F5 + D5*60%</f>
        <v>0.9</v>
      </c>
      <c r="K5" s="3">
        <f t="shared" ref="K5:K27" si="3">50% * G5 + 40% * F5 + E5*60%</f>
        <v>0.9</v>
      </c>
      <c r="L5" s="2"/>
    </row>
    <row r="6" spans="1:12" ht="17" x14ac:dyDescent="0.2">
      <c r="A6" s="2" t="s">
        <v>15</v>
      </c>
      <c r="B6" s="2" t="s">
        <v>16</v>
      </c>
      <c r="C6" s="2" t="s">
        <v>17</v>
      </c>
      <c r="D6" s="3">
        <v>8</v>
      </c>
      <c r="E6" s="4">
        <v>15</v>
      </c>
      <c r="F6" s="3">
        <v>4</v>
      </c>
      <c r="G6" s="3">
        <v>2</v>
      </c>
      <c r="H6" s="3">
        <f t="shared" si="0"/>
        <v>1</v>
      </c>
      <c r="I6" s="3">
        <f t="shared" si="1"/>
        <v>2.6</v>
      </c>
      <c r="J6" s="3">
        <f t="shared" si="2"/>
        <v>7.4</v>
      </c>
      <c r="K6" s="3">
        <f t="shared" si="3"/>
        <v>11.6</v>
      </c>
      <c r="L6" s="2" t="s">
        <v>18</v>
      </c>
    </row>
    <row r="7" spans="1:12" ht="17" x14ac:dyDescent="0.2">
      <c r="A7" s="2" t="s">
        <v>19</v>
      </c>
      <c r="B7" s="2" t="s">
        <v>13</v>
      </c>
      <c r="C7" s="2" t="s">
        <v>20</v>
      </c>
      <c r="D7" s="3">
        <v>0</v>
      </c>
      <c r="E7" s="3">
        <v>0</v>
      </c>
      <c r="F7" s="3">
        <v>1</v>
      </c>
      <c r="G7" s="3">
        <v>3</v>
      </c>
      <c r="H7" s="3">
        <f t="shared" si="0"/>
        <v>1.5</v>
      </c>
      <c r="I7" s="3">
        <f t="shared" si="1"/>
        <v>1.9</v>
      </c>
      <c r="J7" s="3">
        <f t="shared" si="2"/>
        <v>1.9</v>
      </c>
      <c r="K7" s="3">
        <f t="shared" si="3"/>
        <v>1.9</v>
      </c>
      <c r="L7" s="2"/>
    </row>
    <row r="8" spans="1:12" ht="17" x14ac:dyDescent="0.2">
      <c r="A8" s="2" t="s">
        <v>21</v>
      </c>
      <c r="B8" s="2" t="s">
        <v>13</v>
      </c>
      <c r="C8" s="2" t="s">
        <v>22</v>
      </c>
      <c r="D8" s="3">
        <v>0</v>
      </c>
      <c r="E8" s="3">
        <v>0</v>
      </c>
      <c r="F8" s="3">
        <v>0.4</v>
      </c>
      <c r="G8" s="3">
        <v>0.4</v>
      </c>
      <c r="H8" s="3">
        <f t="shared" si="0"/>
        <v>0.2</v>
      </c>
      <c r="I8" s="3">
        <f t="shared" si="1"/>
        <v>0.36000000000000004</v>
      </c>
      <c r="J8" s="3">
        <f t="shared" si="2"/>
        <v>0.36000000000000004</v>
      </c>
      <c r="K8" s="3">
        <f t="shared" si="3"/>
        <v>0.36000000000000004</v>
      </c>
      <c r="L8" s="2"/>
    </row>
    <row r="9" spans="1:12" ht="17" x14ac:dyDescent="0.2">
      <c r="A9" s="2" t="s">
        <v>23</v>
      </c>
      <c r="B9" s="2" t="s">
        <v>13</v>
      </c>
      <c r="C9" s="2" t="s">
        <v>24</v>
      </c>
      <c r="D9" s="3">
        <v>0</v>
      </c>
      <c r="E9" s="3">
        <v>0</v>
      </c>
      <c r="F9" s="3">
        <v>1</v>
      </c>
      <c r="G9" s="3">
        <v>1</v>
      </c>
      <c r="H9" s="3">
        <f t="shared" si="0"/>
        <v>0.5</v>
      </c>
      <c r="I9" s="3">
        <f t="shared" si="1"/>
        <v>0.9</v>
      </c>
      <c r="J9" s="3">
        <f t="shared" si="2"/>
        <v>0.9</v>
      </c>
      <c r="K9" s="3">
        <f t="shared" si="3"/>
        <v>0.9</v>
      </c>
      <c r="L9" s="2"/>
    </row>
    <row r="10" spans="1:12" ht="17" x14ac:dyDescent="0.2">
      <c r="A10" s="2" t="s">
        <v>25</v>
      </c>
      <c r="B10" s="2" t="s">
        <v>16</v>
      </c>
      <c r="C10" s="2" t="s">
        <v>26</v>
      </c>
      <c r="D10" s="3">
        <v>7</v>
      </c>
      <c r="E10" s="4">
        <v>12</v>
      </c>
      <c r="F10" s="3">
        <v>4</v>
      </c>
      <c r="G10" s="3">
        <v>2</v>
      </c>
      <c r="H10" s="3">
        <f t="shared" si="0"/>
        <v>1</v>
      </c>
      <c r="I10" s="3">
        <f t="shared" si="1"/>
        <v>2.6</v>
      </c>
      <c r="J10" s="3">
        <f t="shared" si="2"/>
        <v>6.8000000000000007</v>
      </c>
      <c r="K10" s="3">
        <f t="shared" si="3"/>
        <v>9.7999999999999989</v>
      </c>
      <c r="L10" s="2" t="s">
        <v>18</v>
      </c>
    </row>
    <row r="11" spans="1:12" ht="17" x14ac:dyDescent="0.2">
      <c r="A11" s="2" t="s">
        <v>27</v>
      </c>
      <c r="B11" s="2" t="s">
        <v>16</v>
      </c>
      <c r="C11" s="2" t="s">
        <v>28</v>
      </c>
      <c r="D11" s="3">
        <v>3</v>
      </c>
      <c r="E11" s="4">
        <v>6</v>
      </c>
      <c r="F11" s="3">
        <v>2</v>
      </c>
      <c r="G11" s="3">
        <v>2</v>
      </c>
      <c r="H11" s="3">
        <f t="shared" si="0"/>
        <v>1</v>
      </c>
      <c r="I11" s="3">
        <f t="shared" si="1"/>
        <v>1.8</v>
      </c>
      <c r="J11" s="3">
        <f t="shared" si="2"/>
        <v>3.5999999999999996</v>
      </c>
      <c r="K11" s="3">
        <f t="shared" si="3"/>
        <v>5.3999999999999995</v>
      </c>
      <c r="L11" s="2" t="s">
        <v>18</v>
      </c>
    </row>
    <row r="12" spans="1:12" ht="17" x14ac:dyDescent="0.2">
      <c r="A12" s="2" t="s">
        <v>29</v>
      </c>
      <c r="B12" s="2" t="s">
        <v>16</v>
      </c>
      <c r="C12" s="2" t="s">
        <v>30</v>
      </c>
      <c r="D12" s="3">
        <v>3</v>
      </c>
      <c r="E12" s="4">
        <v>6</v>
      </c>
      <c r="F12" s="3">
        <v>2</v>
      </c>
      <c r="G12" s="3">
        <v>2</v>
      </c>
      <c r="H12" s="3">
        <f t="shared" si="0"/>
        <v>1</v>
      </c>
      <c r="I12" s="3">
        <f t="shared" si="1"/>
        <v>1.8</v>
      </c>
      <c r="J12" s="3">
        <f t="shared" si="2"/>
        <v>3.5999999999999996</v>
      </c>
      <c r="K12" s="3">
        <f t="shared" si="3"/>
        <v>5.3999999999999995</v>
      </c>
      <c r="L12" s="2" t="s">
        <v>18</v>
      </c>
    </row>
    <row r="13" spans="1:12" ht="17" x14ac:dyDescent="0.2">
      <c r="A13" s="2" t="s">
        <v>31</v>
      </c>
      <c r="B13" s="2" t="s">
        <v>16</v>
      </c>
      <c r="C13" s="2" t="s">
        <v>32</v>
      </c>
      <c r="D13" s="3">
        <v>4</v>
      </c>
      <c r="E13" s="4">
        <v>7</v>
      </c>
      <c r="F13" s="3">
        <v>1</v>
      </c>
      <c r="G13" s="3">
        <v>2</v>
      </c>
      <c r="H13" s="3">
        <f t="shared" si="0"/>
        <v>1</v>
      </c>
      <c r="I13" s="3">
        <f t="shared" si="1"/>
        <v>1.4</v>
      </c>
      <c r="J13" s="3">
        <f t="shared" si="2"/>
        <v>3.8</v>
      </c>
      <c r="K13" s="3">
        <f t="shared" si="3"/>
        <v>5.6</v>
      </c>
      <c r="L13" s="2" t="s">
        <v>18</v>
      </c>
    </row>
    <row r="14" spans="1:12" ht="17" x14ac:dyDescent="0.2">
      <c r="A14" s="2" t="s">
        <v>33</v>
      </c>
      <c r="B14" s="2" t="s">
        <v>34</v>
      </c>
      <c r="C14" s="2" t="s">
        <v>35</v>
      </c>
      <c r="D14" s="3">
        <v>6</v>
      </c>
      <c r="E14" s="4">
        <v>10</v>
      </c>
      <c r="F14" s="3">
        <v>4</v>
      </c>
      <c r="G14" s="3">
        <v>4</v>
      </c>
      <c r="H14" s="3">
        <f t="shared" si="0"/>
        <v>2</v>
      </c>
      <c r="I14" s="3">
        <f t="shared" si="1"/>
        <v>3.6</v>
      </c>
      <c r="J14" s="3">
        <f t="shared" si="2"/>
        <v>7.1999999999999993</v>
      </c>
      <c r="K14" s="3">
        <f t="shared" si="3"/>
        <v>9.6</v>
      </c>
      <c r="L14" s="2" t="s">
        <v>18</v>
      </c>
    </row>
    <row r="15" spans="1:12" ht="17" x14ac:dyDescent="0.2">
      <c r="A15" s="2" t="s">
        <v>36</v>
      </c>
      <c r="B15" s="2" t="s">
        <v>34</v>
      </c>
      <c r="C15" s="2" t="s">
        <v>37</v>
      </c>
      <c r="D15" s="3">
        <v>0</v>
      </c>
      <c r="E15" s="3">
        <v>0</v>
      </c>
      <c r="F15" s="3">
        <v>5</v>
      </c>
      <c r="G15" s="3">
        <v>5</v>
      </c>
      <c r="H15" s="3">
        <f t="shared" si="0"/>
        <v>2.5</v>
      </c>
      <c r="I15" s="3">
        <f t="shared" si="1"/>
        <v>4.5</v>
      </c>
      <c r="J15" s="3">
        <f t="shared" si="2"/>
        <v>4.5</v>
      </c>
      <c r="K15" s="3">
        <f t="shared" si="3"/>
        <v>4.5</v>
      </c>
      <c r="L15" s="2"/>
    </row>
    <row r="16" spans="1:12" ht="17" x14ac:dyDescent="0.2">
      <c r="A16" s="2" t="s">
        <v>38</v>
      </c>
      <c r="B16" s="2" t="s">
        <v>39</v>
      </c>
      <c r="C16" s="2" t="s">
        <v>40</v>
      </c>
      <c r="D16" s="3">
        <v>0</v>
      </c>
      <c r="E16" s="3">
        <v>0</v>
      </c>
      <c r="F16" s="3">
        <v>1</v>
      </c>
      <c r="G16" s="3">
        <v>2</v>
      </c>
      <c r="H16" s="3">
        <f t="shared" si="0"/>
        <v>1</v>
      </c>
      <c r="I16" s="3">
        <f t="shared" si="1"/>
        <v>1.4</v>
      </c>
      <c r="J16" s="3">
        <f t="shared" si="2"/>
        <v>1.4</v>
      </c>
      <c r="K16" s="3">
        <f t="shared" si="3"/>
        <v>1.4</v>
      </c>
      <c r="L16" s="2"/>
    </row>
    <row r="17" spans="1:12" ht="17" x14ac:dyDescent="0.2">
      <c r="A17" s="2" t="s">
        <v>41</v>
      </c>
      <c r="B17" s="2" t="s">
        <v>39</v>
      </c>
      <c r="C17" s="2" t="s">
        <v>42</v>
      </c>
      <c r="D17" s="3">
        <v>0</v>
      </c>
      <c r="E17" s="3">
        <v>0</v>
      </c>
      <c r="F17" s="3">
        <v>4</v>
      </c>
      <c r="G17" s="3">
        <v>4</v>
      </c>
      <c r="H17" s="3">
        <f t="shared" si="0"/>
        <v>2</v>
      </c>
      <c r="I17" s="3">
        <f t="shared" si="1"/>
        <v>3.6</v>
      </c>
      <c r="J17" s="3">
        <f t="shared" si="2"/>
        <v>3.6</v>
      </c>
      <c r="K17" s="3">
        <f t="shared" si="3"/>
        <v>3.6</v>
      </c>
      <c r="L17" s="2"/>
    </row>
    <row r="18" spans="1:12" ht="17" x14ac:dyDescent="0.2">
      <c r="A18" s="2" t="s">
        <v>43</v>
      </c>
      <c r="B18" s="2" t="s">
        <v>39</v>
      </c>
      <c r="C18" s="2" t="s">
        <v>44</v>
      </c>
      <c r="D18" s="3">
        <v>0</v>
      </c>
      <c r="E18" s="3">
        <v>0</v>
      </c>
      <c r="F18" s="3">
        <v>0.5</v>
      </c>
      <c r="G18" s="3">
        <v>1.5</v>
      </c>
      <c r="H18" s="3">
        <f t="shared" si="0"/>
        <v>0.75</v>
      </c>
      <c r="I18" s="3">
        <f t="shared" si="1"/>
        <v>0.95</v>
      </c>
      <c r="J18" s="3">
        <f t="shared" si="2"/>
        <v>0.95</v>
      </c>
      <c r="K18" s="3">
        <f t="shared" si="3"/>
        <v>0.95</v>
      </c>
      <c r="L18" s="2"/>
    </row>
    <row r="19" spans="1:12" ht="17" x14ac:dyDescent="0.2">
      <c r="A19" s="2" t="s">
        <v>45</v>
      </c>
      <c r="B19" s="2" t="s">
        <v>39</v>
      </c>
      <c r="C19" s="2" t="s">
        <v>46</v>
      </c>
      <c r="D19" s="3">
        <v>0</v>
      </c>
      <c r="E19" s="3">
        <v>0</v>
      </c>
      <c r="F19" s="3">
        <v>0.4</v>
      </c>
      <c r="G19" s="3">
        <v>0.4</v>
      </c>
      <c r="H19" s="3">
        <f t="shared" si="0"/>
        <v>0.2</v>
      </c>
      <c r="I19" s="3">
        <f t="shared" si="1"/>
        <v>0.36000000000000004</v>
      </c>
      <c r="J19" s="3">
        <f t="shared" si="2"/>
        <v>0.36000000000000004</v>
      </c>
      <c r="K19" s="3">
        <f t="shared" si="3"/>
        <v>0.36000000000000004</v>
      </c>
      <c r="L19" s="2"/>
    </row>
    <row r="20" spans="1:12" ht="17" x14ac:dyDescent="0.2">
      <c r="A20" s="2" t="s">
        <v>47</v>
      </c>
      <c r="B20" s="2" t="s">
        <v>48</v>
      </c>
      <c r="C20" s="2" t="s">
        <v>49</v>
      </c>
      <c r="D20" s="3">
        <v>0</v>
      </c>
      <c r="E20" s="3">
        <v>0</v>
      </c>
      <c r="F20" s="3">
        <v>0.4</v>
      </c>
      <c r="G20" s="3">
        <v>0.4</v>
      </c>
      <c r="H20" s="3">
        <f t="shared" si="0"/>
        <v>0.2</v>
      </c>
      <c r="I20" s="3">
        <f t="shared" si="1"/>
        <v>0.36000000000000004</v>
      </c>
      <c r="J20" s="3">
        <f t="shared" si="2"/>
        <v>0.36000000000000004</v>
      </c>
      <c r="K20" s="3">
        <f t="shared" si="3"/>
        <v>0.36000000000000004</v>
      </c>
      <c r="L20" s="2"/>
    </row>
    <row r="21" spans="1:12" ht="17" x14ac:dyDescent="0.2">
      <c r="A21" s="2" t="s">
        <v>50</v>
      </c>
      <c r="B21" s="2" t="s">
        <v>51</v>
      </c>
      <c r="C21" s="2" t="s">
        <v>52</v>
      </c>
      <c r="D21" s="3">
        <v>0</v>
      </c>
      <c r="E21" s="3">
        <v>0</v>
      </c>
      <c r="F21" s="3">
        <v>0.6</v>
      </c>
      <c r="G21" s="3">
        <v>0.4</v>
      </c>
      <c r="H21" s="3">
        <f t="shared" si="0"/>
        <v>0.2</v>
      </c>
      <c r="I21" s="3">
        <f t="shared" si="1"/>
        <v>0.44</v>
      </c>
      <c r="J21" s="3">
        <f t="shared" si="2"/>
        <v>0.44</v>
      </c>
      <c r="K21" s="3">
        <f t="shared" si="3"/>
        <v>0.44</v>
      </c>
      <c r="L21" s="2"/>
    </row>
    <row r="22" spans="1:12" ht="17" x14ac:dyDescent="0.2">
      <c r="A22" s="2" t="s">
        <v>53</v>
      </c>
      <c r="B22" s="2" t="s">
        <v>54</v>
      </c>
      <c r="C22" s="2" t="s">
        <v>55</v>
      </c>
      <c r="D22" s="3">
        <v>0</v>
      </c>
      <c r="E22" s="3">
        <v>0</v>
      </c>
      <c r="F22" s="3">
        <v>0.4</v>
      </c>
      <c r="G22" s="3">
        <v>0.6</v>
      </c>
      <c r="H22" s="3">
        <f t="shared" si="0"/>
        <v>0.3</v>
      </c>
      <c r="I22" s="3">
        <f t="shared" si="1"/>
        <v>0.46</v>
      </c>
      <c r="J22" s="3">
        <f t="shared" si="2"/>
        <v>0.46</v>
      </c>
      <c r="K22" s="3">
        <f t="shared" si="3"/>
        <v>0.46</v>
      </c>
      <c r="L22" s="2"/>
    </row>
    <row r="23" spans="1:12" ht="17" x14ac:dyDescent="0.2">
      <c r="A23" s="2" t="s">
        <v>56</v>
      </c>
      <c r="B23" s="2" t="s">
        <v>54</v>
      </c>
      <c r="C23" s="2" t="s">
        <v>57</v>
      </c>
      <c r="D23" s="3">
        <v>0</v>
      </c>
      <c r="E23" s="3">
        <v>0</v>
      </c>
      <c r="F23" s="3">
        <v>2</v>
      </c>
      <c r="G23" s="3">
        <v>1</v>
      </c>
      <c r="H23" s="3">
        <f t="shared" si="0"/>
        <v>0.5</v>
      </c>
      <c r="I23" s="3">
        <f t="shared" si="1"/>
        <v>1.3</v>
      </c>
      <c r="J23" s="3">
        <f t="shared" si="2"/>
        <v>1.3</v>
      </c>
      <c r="K23" s="3">
        <f t="shared" si="3"/>
        <v>1.3</v>
      </c>
      <c r="L23" s="2"/>
    </row>
    <row r="24" spans="1:12" ht="17" x14ac:dyDescent="0.2">
      <c r="A24" s="2" t="s">
        <v>58</v>
      </c>
      <c r="B24" s="2" t="s">
        <v>54</v>
      </c>
      <c r="C24" s="2" t="s">
        <v>59</v>
      </c>
      <c r="D24" s="3">
        <v>0</v>
      </c>
      <c r="E24" s="3">
        <v>0</v>
      </c>
      <c r="F24" s="3">
        <v>0.8</v>
      </c>
      <c r="G24" s="3">
        <v>0.7</v>
      </c>
      <c r="H24" s="3">
        <f t="shared" si="0"/>
        <v>0.35</v>
      </c>
      <c r="I24" s="3">
        <f t="shared" si="1"/>
        <v>0.67</v>
      </c>
      <c r="J24" s="3">
        <f t="shared" si="2"/>
        <v>0.67</v>
      </c>
      <c r="K24" s="3">
        <f t="shared" si="3"/>
        <v>0.67</v>
      </c>
      <c r="L24" s="2"/>
    </row>
    <row r="25" spans="1:12" ht="17" x14ac:dyDescent="0.2">
      <c r="A25" s="2" t="s">
        <v>60</v>
      </c>
      <c r="B25" s="2" t="s">
        <v>54</v>
      </c>
      <c r="C25" s="2" t="s">
        <v>61</v>
      </c>
      <c r="D25" s="3">
        <v>0</v>
      </c>
      <c r="E25" s="3">
        <v>0</v>
      </c>
      <c r="F25" s="3">
        <v>0.6</v>
      </c>
      <c r="G25" s="3">
        <v>0.4</v>
      </c>
      <c r="H25" s="3">
        <f t="shared" si="0"/>
        <v>0.2</v>
      </c>
      <c r="I25" s="3">
        <f t="shared" si="1"/>
        <v>0.44</v>
      </c>
      <c r="J25" s="3">
        <f t="shared" si="2"/>
        <v>0.44</v>
      </c>
      <c r="K25" s="3">
        <f t="shared" si="3"/>
        <v>0.44</v>
      </c>
      <c r="L25" s="2"/>
    </row>
    <row r="26" spans="1:12" ht="17" x14ac:dyDescent="0.2">
      <c r="A26" s="2" t="s">
        <v>62</v>
      </c>
      <c r="B26" s="2" t="s">
        <v>63</v>
      </c>
      <c r="C26" s="2" t="s">
        <v>64</v>
      </c>
      <c r="D26" s="3">
        <v>0</v>
      </c>
      <c r="E26" s="3">
        <v>0</v>
      </c>
      <c r="F26" s="3">
        <v>0.4</v>
      </c>
      <c r="G26" s="3">
        <v>0.4</v>
      </c>
      <c r="H26" s="3">
        <f t="shared" si="0"/>
        <v>0.2</v>
      </c>
      <c r="I26" s="3">
        <f t="shared" si="1"/>
        <v>0.36000000000000004</v>
      </c>
      <c r="J26" s="3">
        <f t="shared" si="2"/>
        <v>0.36000000000000004</v>
      </c>
      <c r="K26" s="3">
        <f t="shared" si="3"/>
        <v>0.36000000000000004</v>
      </c>
      <c r="L26" s="2"/>
    </row>
    <row r="27" spans="1:12" ht="17" x14ac:dyDescent="0.2">
      <c r="A27" s="2" t="s">
        <v>65</v>
      </c>
      <c r="B27" s="2" t="s">
        <v>63</v>
      </c>
      <c r="C27" s="2" t="s">
        <v>66</v>
      </c>
      <c r="D27" s="3">
        <v>0</v>
      </c>
      <c r="E27" s="3">
        <v>0</v>
      </c>
      <c r="F27" s="3">
        <v>0.6</v>
      </c>
      <c r="G27" s="3">
        <v>0.4</v>
      </c>
      <c r="H27" s="3">
        <f t="shared" si="0"/>
        <v>0.2</v>
      </c>
      <c r="I27" s="3">
        <f t="shared" si="1"/>
        <v>0.44</v>
      </c>
      <c r="J27" s="3">
        <f t="shared" si="2"/>
        <v>0.44</v>
      </c>
      <c r="K27" s="3">
        <f t="shared" si="3"/>
        <v>0.44</v>
      </c>
      <c r="L27" s="2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workbookViewId="0">
      <selection sqref="A1:I1"/>
    </sheetView>
  </sheetViews>
  <sheetFormatPr baseColWidth="10" defaultColWidth="8.83203125" defaultRowHeight="15" x14ac:dyDescent="0.2"/>
  <cols>
    <col min="1" max="1" width="22" customWidth="1"/>
    <col min="2" max="2" width="10" customWidth="1"/>
    <col min="7" max="7" width="12" customWidth="1"/>
    <col min="8" max="8" width="10" customWidth="1"/>
    <col min="9" max="9" width="12" customWidth="1"/>
  </cols>
  <sheetData>
    <row r="1" spans="1:9" ht="28" customHeight="1" x14ac:dyDescent="0.2">
      <c r="A1" s="54" t="s">
        <v>232</v>
      </c>
      <c r="B1" s="52"/>
      <c r="C1" s="52"/>
      <c r="D1" s="52"/>
      <c r="E1" s="52"/>
      <c r="F1" s="52"/>
      <c r="G1" s="52"/>
      <c r="H1" s="52"/>
      <c r="I1" s="52"/>
    </row>
    <row r="2" spans="1:9" ht="8" customHeight="1" x14ac:dyDescent="0.2"/>
    <row r="3" spans="1:9" ht="24" customHeight="1" x14ac:dyDescent="0.2">
      <c r="A3" s="1" t="s">
        <v>2</v>
      </c>
      <c r="B3" s="1" t="s">
        <v>233</v>
      </c>
      <c r="C3" s="1" t="s">
        <v>234</v>
      </c>
      <c r="D3" s="1" t="s">
        <v>6</v>
      </c>
      <c r="E3" s="1" t="s">
        <v>7</v>
      </c>
      <c r="F3" s="1" t="s">
        <v>8</v>
      </c>
      <c r="G3" s="1" t="s">
        <v>235</v>
      </c>
      <c r="H3" s="1" t="s">
        <v>236</v>
      </c>
      <c r="I3" s="1" t="s">
        <v>237</v>
      </c>
    </row>
    <row r="4" spans="1:9" ht="20" customHeight="1" x14ac:dyDescent="0.2">
      <c r="A4" s="23" t="s">
        <v>11</v>
      </c>
      <c r="B4" s="24">
        <v>1</v>
      </c>
      <c r="C4" s="25"/>
      <c r="D4" s="25">
        <v>0.5</v>
      </c>
      <c r="E4" s="25">
        <v>1</v>
      </c>
      <c r="F4" s="25">
        <v>2</v>
      </c>
      <c r="G4" s="25">
        <v>3.5</v>
      </c>
      <c r="H4" s="25">
        <v>0.17</v>
      </c>
      <c r="I4" s="26" t="s">
        <v>238</v>
      </c>
    </row>
    <row r="5" spans="1:9" ht="20" customHeight="1" x14ac:dyDescent="0.2">
      <c r="A5" s="27" t="s">
        <v>13</v>
      </c>
      <c r="B5" s="28">
        <v>4</v>
      </c>
      <c r="C5" s="29"/>
      <c r="D5" s="29">
        <v>1.65</v>
      </c>
      <c r="E5" s="29">
        <v>2.6</v>
      </c>
      <c r="F5" s="29">
        <v>2</v>
      </c>
      <c r="G5" s="29">
        <v>6.25</v>
      </c>
      <c r="H5" s="29">
        <v>0.31</v>
      </c>
      <c r="I5" s="30" t="s">
        <v>239</v>
      </c>
    </row>
    <row r="6" spans="1:9" ht="20" customHeight="1" x14ac:dyDescent="0.2">
      <c r="A6" s="31" t="s">
        <v>16</v>
      </c>
      <c r="B6" s="32">
        <v>5</v>
      </c>
      <c r="C6" s="33">
        <v>28.5</v>
      </c>
      <c r="D6" s="33">
        <v>6.5</v>
      </c>
      <c r="E6" s="33">
        <v>5</v>
      </c>
      <c r="F6" s="33">
        <v>20</v>
      </c>
      <c r="G6" s="33">
        <v>60</v>
      </c>
      <c r="H6" s="33">
        <v>3</v>
      </c>
      <c r="I6" s="34" t="s">
        <v>240</v>
      </c>
    </row>
    <row r="7" spans="1:9" ht="20" customHeight="1" x14ac:dyDescent="0.2">
      <c r="A7" s="31" t="s">
        <v>34</v>
      </c>
      <c r="B7" s="32">
        <v>2</v>
      </c>
      <c r="C7" s="33"/>
      <c r="D7" s="33">
        <v>0.65</v>
      </c>
      <c r="E7" s="33">
        <v>0.6</v>
      </c>
      <c r="F7" s="33">
        <v>0.6</v>
      </c>
      <c r="G7" s="33">
        <v>1.85</v>
      </c>
      <c r="H7" s="33">
        <v>0.09</v>
      </c>
      <c r="I7" s="34" t="s">
        <v>241</v>
      </c>
    </row>
    <row r="8" spans="1:9" ht="20" customHeight="1" x14ac:dyDescent="0.2">
      <c r="A8" s="23" t="s">
        <v>39</v>
      </c>
      <c r="B8" s="24">
        <v>4</v>
      </c>
      <c r="C8" s="25">
        <v>13</v>
      </c>
      <c r="D8" s="25">
        <v>4</v>
      </c>
      <c r="E8" s="25">
        <v>3</v>
      </c>
      <c r="F8" s="25">
        <v>9</v>
      </c>
      <c r="G8" s="25">
        <v>29</v>
      </c>
      <c r="H8" s="25">
        <v>1.45</v>
      </c>
      <c r="I8" s="26" t="s">
        <v>242</v>
      </c>
    </row>
    <row r="9" spans="1:9" ht="20" customHeight="1" x14ac:dyDescent="0.2">
      <c r="A9" s="23" t="s">
        <v>48</v>
      </c>
      <c r="B9" s="24">
        <v>1</v>
      </c>
      <c r="C9" s="25">
        <v>3.5</v>
      </c>
      <c r="D9" s="25">
        <v>0.5</v>
      </c>
      <c r="E9" s="25">
        <v>1</v>
      </c>
      <c r="F9" s="25">
        <v>3</v>
      </c>
      <c r="G9" s="25">
        <v>8</v>
      </c>
      <c r="H9" s="25">
        <v>0.4</v>
      </c>
      <c r="I9" s="26" t="s">
        <v>243</v>
      </c>
    </row>
    <row r="10" spans="1:9" ht="20" customHeight="1" x14ac:dyDescent="0.2">
      <c r="A10" s="27" t="s">
        <v>51</v>
      </c>
      <c r="B10" s="28">
        <v>1</v>
      </c>
      <c r="C10" s="29"/>
      <c r="D10" s="29"/>
      <c r="E10" s="29"/>
      <c r="F10" s="29"/>
      <c r="G10" s="29"/>
      <c r="H10" s="29"/>
      <c r="I10" s="30" t="s">
        <v>244</v>
      </c>
    </row>
    <row r="11" spans="1:9" ht="20" customHeight="1" x14ac:dyDescent="0.2">
      <c r="A11" s="27" t="s">
        <v>54</v>
      </c>
      <c r="B11" s="28">
        <f>COUNTIF(詳細見積!$B$4:$B$40,"管理:テナント")</f>
        <v>4</v>
      </c>
      <c r="C11" s="29">
        <f>SUMIF(詳細見積!$B$4:$B$40,"管理:テナント",詳細見積!$D$4:$D$40)</f>
        <v>0</v>
      </c>
      <c r="D11" s="29">
        <f>SUMIF(詳細見積!$B$4:$B$40,"管理:テナント",詳細見積!$E$4:$E$40)</f>
        <v>0</v>
      </c>
      <c r="E11" s="29">
        <f>SUMIF(詳細見積!$B$4:$B$40,"管理:テナント",詳細見積!$F$4:$F$40)</f>
        <v>3.8000000000000003</v>
      </c>
      <c r="F11" s="29">
        <f>SUMIF(詳細見積!$B$4:$B$40,"管理:テナント",詳細見積!$G$4:$G$40)</f>
        <v>2.6999999999999997</v>
      </c>
      <c r="G11" s="29">
        <f>C11+D11+E11+F11</f>
        <v>6.5</v>
      </c>
      <c r="H11" s="29">
        <f>G11/20</f>
        <v>0.32500000000000001</v>
      </c>
      <c r="I11" s="30">
        <f>G11/G14</f>
        <v>5.5603079555175371E-2</v>
      </c>
    </row>
    <row r="12" spans="1:9" ht="20" customHeight="1" x14ac:dyDescent="0.2">
      <c r="A12" s="27" t="s">
        <v>63</v>
      </c>
      <c r="B12" s="28">
        <f>COUNTIF(詳細見積!$B$4:$B$40,"管理:プラン")</f>
        <v>2</v>
      </c>
      <c r="C12" s="29">
        <f>SUMIF(詳細見積!$B$4:$B$40,"管理:プラン",詳細見積!$D$4:$D$40)</f>
        <v>0</v>
      </c>
      <c r="D12" s="29">
        <f>SUMIF(詳細見積!$B$4:$B$40,"管理:プラン",詳細見積!$E$4:$E$40)</f>
        <v>0</v>
      </c>
      <c r="E12" s="29">
        <f>SUMIF(詳細見積!$B$4:$B$40,"管理:プラン",詳細見積!$F$4:$F$40)</f>
        <v>1</v>
      </c>
      <c r="F12" s="29">
        <f>SUMIF(詳細見積!$B$4:$B$40,"管理:プラン",詳細見積!$G$4:$G$40)</f>
        <v>0.8</v>
      </c>
      <c r="G12" s="29">
        <f>C12+D12+E12+F12</f>
        <v>1.8</v>
      </c>
      <c r="H12" s="29">
        <f>G12/20</f>
        <v>0.09</v>
      </c>
      <c r="I12" s="30">
        <f>G12/G14</f>
        <v>1.5397775876817794E-2</v>
      </c>
    </row>
    <row r="13" spans="1:9" ht="6" customHeight="1" x14ac:dyDescent="0.2"/>
    <row r="14" spans="1:9" ht="24" customHeight="1" x14ac:dyDescent="0.2">
      <c r="A14" s="35" t="s">
        <v>164</v>
      </c>
      <c r="B14" s="36">
        <f t="shared" ref="B14:G14" si="0">SUM(B4:B12)</f>
        <v>24</v>
      </c>
      <c r="C14" s="37">
        <f t="shared" si="0"/>
        <v>45</v>
      </c>
      <c r="D14" s="37">
        <f t="shared" si="0"/>
        <v>13.8</v>
      </c>
      <c r="E14" s="37">
        <f t="shared" si="0"/>
        <v>18</v>
      </c>
      <c r="F14" s="37">
        <f t="shared" si="0"/>
        <v>40.1</v>
      </c>
      <c r="G14" s="37">
        <f t="shared" si="0"/>
        <v>116.89999999999999</v>
      </c>
      <c r="H14" s="37">
        <f>G14/20</f>
        <v>5.8449999999999998</v>
      </c>
      <c r="I14" s="38" t="s">
        <v>245</v>
      </c>
    </row>
    <row r="16" spans="1:9" ht="18" customHeight="1" x14ac:dyDescent="0.2">
      <c r="A16" s="57" t="s">
        <v>246</v>
      </c>
      <c r="B16" s="52"/>
      <c r="C16" s="52"/>
      <c r="D16" s="52"/>
      <c r="E16" s="52"/>
      <c r="F16" s="52"/>
      <c r="G16" s="52"/>
      <c r="H16" s="52"/>
      <c r="I16" s="52"/>
    </row>
  </sheetData>
  <mergeCells count="2">
    <mergeCell ref="A1:I1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workbookViewId="0"/>
  </sheetViews>
  <sheetFormatPr baseColWidth="10" defaultColWidth="8.83203125" defaultRowHeight="15" x14ac:dyDescent="0.2"/>
  <cols>
    <col min="1" max="1" width="25" customWidth="1"/>
    <col min="2" max="2" width="30" customWidth="1"/>
    <col min="3" max="3" width="15" customWidth="1"/>
    <col min="4" max="4" width="20" customWidth="1"/>
    <col min="5" max="5" width="35" customWidth="1"/>
  </cols>
  <sheetData>
    <row r="1" spans="1:5" ht="23" customHeight="1" x14ac:dyDescent="0.4">
      <c r="A1" s="19" t="s">
        <v>247</v>
      </c>
      <c r="B1" s="19"/>
      <c r="C1" s="19"/>
      <c r="D1" s="19"/>
      <c r="E1" s="19"/>
    </row>
    <row r="3" spans="1:5" ht="19" customHeight="1" x14ac:dyDescent="0.35">
      <c r="A3" s="20" t="s">
        <v>248</v>
      </c>
    </row>
    <row r="4" spans="1:5" ht="19" customHeight="1" x14ac:dyDescent="0.35">
      <c r="A4" s="20" t="s">
        <v>249</v>
      </c>
      <c r="B4" t="s">
        <v>250</v>
      </c>
      <c r="C4" t="s">
        <v>251</v>
      </c>
      <c r="D4" t="s">
        <v>252</v>
      </c>
      <c r="E4" t="s">
        <v>141</v>
      </c>
    </row>
    <row r="5" spans="1:5" x14ac:dyDescent="0.2">
      <c r="A5" t="s">
        <v>253</v>
      </c>
      <c r="B5" t="s">
        <v>254</v>
      </c>
      <c r="C5" t="s">
        <v>255</v>
      </c>
      <c r="D5" t="s">
        <v>256</v>
      </c>
      <c r="E5" t="s">
        <v>257</v>
      </c>
    </row>
    <row r="6" spans="1:5" x14ac:dyDescent="0.2">
      <c r="A6" t="s">
        <v>258</v>
      </c>
      <c r="B6" t="s">
        <v>259</v>
      </c>
      <c r="C6" t="s">
        <v>260</v>
      </c>
      <c r="D6" t="s">
        <v>261</v>
      </c>
      <c r="E6" t="s">
        <v>262</v>
      </c>
    </row>
    <row r="7" spans="1:5" x14ac:dyDescent="0.2">
      <c r="A7" t="s">
        <v>263</v>
      </c>
      <c r="B7" t="s">
        <v>264</v>
      </c>
      <c r="C7" t="s">
        <v>255</v>
      </c>
      <c r="D7" t="s">
        <v>256</v>
      </c>
      <c r="E7" t="s">
        <v>265</v>
      </c>
    </row>
    <row r="9" spans="1:5" x14ac:dyDescent="0.2">
      <c r="A9" t="s">
        <v>164</v>
      </c>
      <c r="C9" t="s">
        <v>238</v>
      </c>
      <c r="D9" t="s">
        <v>72</v>
      </c>
    </row>
    <row r="11" spans="1:5" x14ac:dyDescent="0.2">
      <c r="A11" t="s">
        <v>266</v>
      </c>
    </row>
    <row r="12" spans="1:5" ht="19" customHeight="1" x14ac:dyDescent="0.35">
      <c r="A12" s="20" t="s">
        <v>116</v>
      </c>
      <c r="B12" t="s">
        <v>210</v>
      </c>
      <c r="C12" t="s">
        <v>267</v>
      </c>
    </row>
    <row r="13" spans="1:5" x14ac:dyDescent="0.2">
      <c r="A13" t="s">
        <v>142</v>
      </c>
      <c r="B13" t="s">
        <v>268</v>
      </c>
      <c r="C13" t="s">
        <v>145</v>
      </c>
    </row>
    <row r="14" spans="1:5" x14ac:dyDescent="0.2">
      <c r="A14" t="s">
        <v>269</v>
      </c>
      <c r="B14" t="s">
        <v>270</v>
      </c>
      <c r="C14" t="s">
        <v>271</v>
      </c>
    </row>
    <row r="15" spans="1:5" x14ac:dyDescent="0.2">
      <c r="A15" t="s">
        <v>272</v>
      </c>
      <c r="B15" t="s">
        <v>273</v>
      </c>
      <c r="C15" t="s">
        <v>274</v>
      </c>
    </row>
    <row r="16" spans="1:5" x14ac:dyDescent="0.2">
      <c r="A16" t="s">
        <v>275</v>
      </c>
      <c r="B16" t="s">
        <v>276</v>
      </c>
      <c r="C16" t="s">
        <v>277</v>
      </c>
    </row>
    <row r="18" spans="1:1" x14ac:dyDescent="0.2">
      <c r="A18" t="s">
        <v>278</v>
      </c>
    </row>
    <row r="19" spans="1:1" x14ac:dyDescent="0.2">
      <c r="A19" t="s">
        <v>275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2"/>
  <sheetViews>
    <sheetView workbookViewId="0">
      <selection sqref="A1:E1"/>
    </sheetView>
  </sheetViews>
  <sheetFormatPr baseColWidth="10" defaultColWidth="8.83203125" defaultRowHeight="15" x14ac:dyDescent="0.2"/>
  <cols>
    <col min="1" max="1" width="28" customWidth="1"/>
    <col min="2" max="2" width="16" customWidth="1"/>
    <col min="4" max="4" width="14" customWidth="1"/>
    <col min="5" max="5" width="40" customWidth="1"/>
  </cols>
  <sheetData>
    <row r="1" spans="1:5" ht="28" customHeight="1" x14ac:dyDescent="0.2">
      <c r="A1" s="54" t="s">
        <v>279</v>
      </c>
      <c r="B1" s="52"/>
      <c r="C1" s="52"/>
      <c r="D1" s="52"/>
      <c r="E1" s="52"/>
    </row>
    <row r="2" spans="1:5" ht="8" customHeight="1" x14ac:dyDescent="0.2">
      <c r="A2" t="s">
        <v>280</v>
      </c>
    </row>
    <row r="3" spans="1:5" ht="22" customHeight="1" x14ac:dyDescent="0.2">
      <c r="A3" s="6" t="s">
        <v>281</v>
      </c>
      <c r="B3" s="6" t="s">
        <v>282</v>
      </c>
      <c r="C3" s="6" t="s">
        <v>283</v>
      </c>
      <c r="D3" s="6" t="s">
        <v>284</v>
      </c>
      <c r="E3" s="6" t="s">
        <v>9</v>
      </c>
    </row>
    <row r="4" spans="1:5" ht="20" customHeight="1" x14ac:dyDescent="0.2">
      <c r="A4" s="39" t="s">
        <v>285</v>
      </c>
      <c r="B4" s="16" t="s">
        <v>286</v>
      </c>
      <c r="C4" s="16" t="s">
        <v>287</v>
      </c>
      <c r="D4" s="16" t="s">
        <v>288</v>
      </c>
      <c r="E4" s="39" t="s">
        <v>289</v>
      </c>
    </row>
    <row r="5" spans="1:5" ht="20" customHeight="1" x14ac:dyDescent="0.2">
      <c r="A5" s="39" t="s">
        <v>290</v>
      </c>
      <c r="B5" s="16" t="s">
        <v>287</v>
      </c>
      <c r="C5" s="16" t="s">
        <v>291</v>
      </c>
      <c r="D5" s="16" t="s">
        <v>288</v>
      </c>
      <c r="E5" s="39" t="s">
        <v>292</v>
      </c>
    </row>
    <row r="6" spans="1:5" ht="20" customHeight="1" x14ac:dyDescent="0.2">
      <c r="A6" s="39" t="s">
        <v>293</v>
      </c>
      <c r="B6" s="16" t="s">
        <v>291</v>
      </c>
      <c r="C6" s="16" t="s">
        <v>294</v>
      </c>
      <c r="D6" s="16" t="s">
        <v>288</v>
      </c>
      <c r="E6" s="39" t="s">
        <v>295</v>
      </c>
    </row>
    <row r="7" spans="1:5" ht="20" customHeight="1" x14ac:dyDescent="0.2">
      <c r="A7" s="8" t="s">
        <v>296</v>
      </c>
      <c r="B7" s="7" t="s">
        <v>294</v>
      </c>
      <c r="C7" s="7" t="s">
        <v>297</v>
      </c>
      <c r="D7" s="7" t="s">
        <v>298</v>
      </c>
      <c r="E7" s="8" t="s">
        <v>299</v>
      </c>
    </row>
    <row r="8" spans="1:5" ht="20" customHeight="1" x14ac:dyDescent="0.2">
      <c r="A8" s="8" t="s">
        <v>300</v>
      </c>
      <c r="B8" s="7" t="s">
        <v>297</v>
      </c>
      <c r="C8" s="7" t="s">
        <v>301</v>
      </c>
      <c r="D8" s="7" t="s">
        <v>298</v>
      </c>
      <c r="E8" s="8" t="s">
        <v>302</v>
      </c>
    </row>
    <row r="9" spans="1:5" ht="20" customHeight="1" x14ac:dyDescent="0.2">
      <c r="A9" s="8" t="s">
        <v>303</v>
      </c>
      <c r="B9" s="7" t="s">
        <v>301</v>
      </c>
      <c r="C9" s="7" t="s">
        <v>304</v>
      </c>
      <c r="D9" s="7" t="s">
        <v>288</v>
      </c>
      <c r="E9" s="8" t="s">
        <v>305</v>
      </c>
    </row>
    <row r="10" spans="1:5" ht="20" customHeight="1" x14ac:dyDescent="0.2">
      <c r="A10" s="8" t="s">
        <v>306</v>
      </c>
      <c r="B10" s="7" t="s">
        <v>304</v>
      </c>
      <c r="C10" s="7" t="s">
        <v>307</v>
      </c>
      <c r="D10" s="7" t="s">
        <v>308</v>
      </c>
      <c r="E10" s="8" t="s">
        <v>309</v>
      </c>
    </row>
    <row r="11" spans="1:5" ht="20" customHeight="1" x14ac:dyDescent="0.2">
      <c r="A11" s="40" t="s">
        <v>310</v>
      </c>
      <c r="B11" s="41" t="s">
        <v>311</v>
      </c>
      <c r="C11" s="41" t="s">
        <v>312</v>
      </c>
      <c r="D11" s="41" t="s">
        <v>313</v>
      </c>
      <c r="E11" s="40" t="s">
        <v>314</v>
      </c>
    </row>
    <row r="12" spans="1:5" ht="20" customHeight="1" x14ac:dyDescent="0.2">
      <c r="A12" s="40" t="s">
        <v>315</v>
      </c>
      <c r="B12" s="41" t="s">
        <v>312</v>
      </c>
      <c r="C12" s="41" t="s">
        <v>316</v>
      </c>
      <c r="D12" s="41" t="s">
        <v>288</v>
      </c>
      <c r="E12" s="40" t="s">
        <v>317</v>
      </c>
    </row>
    <row r="13" spans="1:5" ht="20" customHeight="1" x14ac:dyDescent="0.2">
      <c r="A13" s="42" t="s">
        <v>318</v>
      </c>
      <c r="B13" s="43" t="s">
        <v>316</v>
      </c>
      <c r="C13" s="43" t="s">
        <v>319</v>
      </c>
      <c r="D13" s="43" t="s">
        <v>298</v>
      </c>
      <c r="E13" s="42" t="s">
        <v>320</v>
      </c>
    </row>
    <row r="14" spans="1:5" ht="8" customHeight="1" x14ac:dyDescent="0.2"/>
    <row r="15" spans="1:5" ht="22" customHeight="1" x14ac:dyDescent="0.2">
      <c r="A15" s="55" t="s">
        <v>321</v>
      </c>
      <c r="B15" s="49"/>
      <c r="C15" s="49"/>
      <c r="D15" s="49"/>
      <c r="E15" s="50"/>
    </row>
    <row r="16" spans="1:5" ht="20" customHeight="1" x14ac:dyDescent="0.2">
      <c r="A16" s="16" t="s">
        <v>322</v>
      </c>
      <c r="B16" s="44" t="s">
        <v>323</v>
      </c>
      <c r="C16" s="58" t="s">
        <v>324</v>
      </c>
      <c r="D16" s="50"/>
      <c r="E16" s="23"/>
    </row>
    <row r="17" spans="1:5" ht="20" customHeight="1" x14ac:dyDescent="0.2">
      <c r="A17" s="16" t="s">
        <v>325</v>
      </c>
      <c r="B17" s="44" t="s">
        <v>326</v>
      </c>
      <c r="C17" s="58" t="s">
        <v>327</v>
      </c>
      <c r="D17" s="50"/>
      <c r="E17" s="23"/>
    </row>
    <row r="18" spans="1:5" ht="20" customHeight="1" x14ac:dyDescent="0.2">
      <c r="A18" s="16" t="s">
        <v>328</v>
      </c>
      <c r="B18" s="44" t="s">
        <v>329</v>
      </c>
      <c r="C18" s="58" t="s">
        <v>330</v>
      </c>
      <c r="D18" s="50"/>
      <c r="E18" s="23"/>
    </row>
    <row r="19" spans="1:5" ht="20" customHeight="1" x14ac:dyDescent="0.2">
      <c r="A19" s="16" t="s">
        <v>331</v>
      </c>
      <c r="B19" s="44" t="s">
        <v>307</v>
      </c>
      <c r="C19" s="58" t="s">
        <v>332</v>
      </c>
      <c r="D19" s="50"/>
      <c r="E19" s="23"/>
    </row>
    <row r="20" spans="1:5" ht="20" customHeight="1" x14ac:dyDescent="0.2">
      <c r="A20" s="16" t="s">
        <v>333</v>
      </c>
      <c r="B20" s="44" t="s">
        <v>334</v>
      </c>
      <c r="C20" s="58" t="s">
        <v>335</v>
      </c>
      <c r="D20" s="50"/>
      <c r="E20" s="23"/>
    </row>
    <row r="21" spans="1:5" ht="20" customHeight="1" x14ac:dyDescent="0.2">
      <c r="A21" s="16" t="s">
        <v>336</v>
      </c>
      <c r="B21" s="44" t="s">
        <v>337</v>
      </c>
      <c r="C21" s="58" t="s">
        <v>338</v>
      </c>
      <c r="D21" s="50"/>
      <c r="E21" s="23"/>
    </row>
    <row r="22" spans="1:5" ht="20" customHeight="1" x14ac:dyDescent="0.2">
      <c r="A22" s="16" t="s">
        <v>339</v>
      </c>
      <c r="B22" s="44" t="s">
        <v>319</v>
      </c>
      <c r="C22" s="58" t="s">
        <v>340</v>
      </c>
      <c r="D22" s="50"/>
      <c r="E22" s="23" t="s">
        <v>341</v>
      </c>
    </row>
    <row r="23" spans="1:5" ht="8" customHeight="1" x14ac:dyDescent="0.2"/>
    <row r="24" spans="1:5" ht="18" customHeight="1" x14ac:dyDescent="0.2">
      <c r="A24" s="57" t="s">
        <v>342</v>
      </c>
      <c r="B24" s="52"/>
      <c r="C24" s="52"/>
      <c r="D24" s="52"/>
      <c r="E24" s="52"/>
    </row>
    <row r="25" spans="1:5" ht="18" customHeight="1" x14ac:dyDescent="0.2">
      <c r="A25" s="57" t="s">
        <v>343</v>
      </c>
      <c r="B25" s="52"/>
      <c r="C25" s="52"/>
      <c r="D25" s="52"/>
      <c r="E25" s="52"/>
    </row>
    <row r="26" spans="1:5" ht="18" customHeight="1" x14ac:dyDescent="0.2">
      <c r="A26" s="57" t="s">
        <v>344</v>
      </c>
      <c r="B26" s="52"/>
      <c r="C26" s="52"/>
      <c r="D26" s="52"/>
      <c r="E26" s="52"/>
    </row>
    <row r="27" spans="1:5" ht="18" customHeight="1" x14ac:dyDescent="0.2">
      <c r="A27" s="57" t="s">
        <v>345</v>
      </c>
      <c r="B27" s="52"/>
      <c r="C27" s="52"/>
      <c r="D27" s="52"/>
      <c r="E27" s="52"/>
    </row>
    <row r="28" spans="1:5" x14ac:dyDescent="0.2">
      <c r="A28" t="s">
        <v>346</v>
      </c>
    </row>
    <row r="29" spans="1:5" x14ac:dyDescent="0.2">
      <c r="A29" t="s">
        <v>347</v>
      </c>
    </row>
    <row r="30" spans="1:5" x14ac:dyDescent="0.2">
      <c r="A30" t="s">
        <v>348</v>
      </c>
    </row>
    <row r="31" spans="1:5" x14ac:dyDescent="0.2">
      <c r="A31" t="s">
        <v>349</v>
      </c>
    </row>
    <row r="32" spans="1:5" x14ac:dyDescent="0.2">
      <c r="A32" t="s">
        <v>350</v>
      </c>
    </row>
  </sheetData>
  <mergeCells count="13">
    <mergeCell ref="A27:E27"/>
    <mergeCell ref="A15:E15"/>
    <mergeCell ref="A25:E25"/>
    <mergeCell ref="C19:D19"/>
    <mergeCell ref="A1:E1"/>
    <mergeCell ref="C22:D22"/>
    <mergeCell ref="C18:D18"/>
    <mergeCell ref="C17:D17"/>
    <mergeCell ref="C20:D20"/>
    <mergeCell ref="C21:D21"/>
    <mergeCell ref="C16:D16"/>
    <mergeCell ref="A26:E26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概算見積</vt:lpstr>
      <vt:lpstr>AI仕様書</vt:lpstr>
      <vt:lpstr>前提条件</vt:lpstr>
      <vt:lpstr>詳細見積</vt:lpstr>
      <vt:lpstr>カテゴリ別集計</vt:lpstr>
      <vt:lpstr>支払条件</vt:lpstr>
      <vt:lpstr>スケジュール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kaml</cp:lastModifiedBy>
  <dcterms:created xsi:type="dcterms:W3CDTF">2026-04-02T14:07:17Z</dcterms:created>
  <dcterms:modified xsi:type="dcterms:W3CDTF">2026-04-03T05:05:09Z</dcterms:modified>
</cp:coreProperties>
</file>