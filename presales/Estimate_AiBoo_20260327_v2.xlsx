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drawings/drawing11.xml" ContentType="application/vnd.openxmlformats-officedocument.drawing+xml"/>
  <Override PartName="/xl/worksheets/sheet18.xml" ContentType="application/vnd.openxmlformats-officedocument.spreadsheetml.worksheet+xml"/>
  <Override PartName="/xl/drawings/drawing12.xml" ContentType="application/vnd.openxmlformats-officedocument.drawing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drawings/drawing14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. 概算工数一覧 " sheetId="1" state="visible" r:id="rId1"/>
    <sheet xmlns:r="http://schemas.openxmlformats.org/officeDocument/2006/relationships" name="2. シナリオ別見積" sheetId="2" state="visible" r:id="rId2"/>
    <sheet xmlns:r="http://schemas.openxmlformats.org/officeDocument/2006/relationships" name="3. 詳細見積(JP)　ーEst" sheetId="3" state="visible" r:id="rId3"/>
    <sheet xmlns:r="http://schemas.openxmlformats.org/officeDocument/2006/relationships" name="公募詳細画面 (2)" sheetId="4" state="hidden" r:id="rId4"/>
    <sheet xmlns:r="http://schemas.openxmlformats.org/officeDocument/2006/relationships" name="bkお気に入りリスト編集" sheetId="5" state="hidden" r:id="rId5"/>
    <sheet xmlns:r="http://schemas.openxmlformats.org/officeDocument/2006/relationships" name="フォローフォロワー一覧_bk" sheetId="6" state="hidden" r:id="rId6"/>
    <sheet xmlns:r="http://schemas.openxmlformats.org/officeDocument/2006/relationships" name="作品検索画面_bk" sheetId="7" state="hidden" r:id="rId7"/>
    <sheet xmlns:r="http://schemas.openxmlformats.org/officeDocument/2006/relationships" name="bkポートフォリオ画面" sheetId="8" state="hidden" r:id="rId8"/>
    <sheet xmlns:r="http://schemas.openxmlformats.org/officeDocument/2006/relationships" name="プロフィール画面 (2)" sheetId="9" state="hidden" r:id="rId9"/>
    <sheet xmlns:r="http://schemas.openxmlformats.org/officeDocument/2006/relationships" name="ポートフォリオとは" sheetId="10" state="hidden" r:id="rId10"/>
    <sheet xmlns:r="http://schemas.openxmlformats.org/officeDocument/2006/relationships" name="ポートフォリオの作成" sheetId="11" state="hidden" r:id="rId11"/>
    <sheet xmlns:r="http://schemas.openxmlformats.org/officeDocument/2006/relationships" name="作品の投稿" sheetId="12" state="hidden" r:id="rId12"/>
    <sheet xmlns:r="http://schemas.openxmlformats.org/officeDocument/2006/relationships" name="グループ運用" sheetId="13" state="hidden" r:id="rId13"/>
    <sheet xmlns:r="http://schemas.openxmlformats.org/officeDocument/2006/relationships" name="メンバーシップ機能" sheetId="14" state="hidden" r:id="rId14"/>
    <sheet xmlns:r="http://schemas.openxmlformats.org/officeDocument/2006/relationships" name="イベントの開催" sheetId="15" state="hidden" r:id="rId15"/>
    <sheet xmlns:r="http://schemas.openxmlformats.org/officeDocument/2006/relationships" name="コミュニティチャットとは" sheetId="16" state="hidden" r:id="rId16"/>
    <sheet xmlns:r="http://schemas.openxmlformats.org/officeDocument/2006/relationships" name="フィードバックを送信する１" sheetId="17" state="hidden" r:id="rId17"/>
    <sheet xmlns:r="http://schemas.openxmlformats.org/officeDocument/2006/relationships" name="フィードバックを送信するbk" sheetId="18" state="hidden" r:id="rId18"/>
    <sheet xmlns:r="http://schemas.openxmlformats.org/officeDocument/2006/relationships" name="不正なユーザー・コンテンツの報告 (2)" sheetId="19" state="hidden" r:id="rId19"/>
    <sheet xmlns:r="http://schemas.openxmlformats.org/officeDocument/2006/relationships" name="お問い合わせ_bk" sheetId="20" state="hidden" r:id="rId20"/>
  </sheets>
  <externalReferences>
    <externalReference xmlns:r="http://schemas.openxmlformats.org/officeDocument/2006/relationships" r:id="rId21"/>
  </externalReference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b val="1"/>
      <color theme="1"/>
      <sz val="12"/>
    </font>
    <font/>
    <font>
      <name val="Arial"/>
      <b val="1"/>
      <color rgb="FFFF0000"/>
      <sz val="10"/>
    </font>
    <font>
      <name val="Arial"/>
      <color rgb="FF000000"/>
      <sz val="10"/>
    </font>
    <font>
      <name val="Arial"/>
      <color theme="1"/>
      <sz val="8"/>
    </font>
    <font>
      <name val="Arial"/>
      <color rgb="FFFF0000"/>
      <sz val="10"/>
    </font>
    <font>
      <name val="Arial"/>
      <b val="1"/>
      <color theme="1"/>
      <sz val="8"/>
    </font>
    <font>
      <name val="Arial"/>
      <b val="1"/>
      <i val="1"/>
      <color rgb="FF000000"/>
      <sz val="8"/>
    </font>
    <font>
      <name val="Arial"/>
      <b val="1"/>
      <color rgb="FF000000"/>
      <sz val="9"/>
    </font>
    <font>
      <name val="Arial"/>
      <b val="1"/>
      <color rgb="FF000000"/>
      <sz val="7"/>
    </font>
    <font>
      <name val="Arial"/>
      <color theme="1"/>
      <sz val="11"/>
    </font>
    <font>
      <name val="Arial"/>
      <color rgb="FF1F2328"/>
      <sz val="11"/>
    </font>
    <font>
      <name val="-apple-system"/>
      <color rgb="FF1F2328"/>
      <sz val="11"/>
    </font>
    <font>
      <name val="Arial"/>
      <color rgb="FFFF0000"/>
      <sz val="11"/>
    </font>
    <font>
      <name val="Arial"/>
      <b val="1"/>
      <color rgb="FF000000"/>
      <sz val="6"/>
    </font>
    <font>
      <name val="Arial"/>
      <color rgb="FFFFFFFF"/>
      <sz val="10"/>
    </font>
    <font>
      <name val="MS PGothic"/>
      <color theme="1"/>
      <sz val="10"/>
    </font>
    <font>
      <name val="ＭＳ ゴシック"/>
      <color theme="1"/>
      <sz val="10"/>
    </font>
    <font>
      <name val="MS PGothic"/>
      <strike val="1"/>
      <color theme="1"/>
      <sz val="10"/>
    </font>
    <font>
      <name val="MS PGothic"/>
      <color rgb="FF000000"/>
      <sz val="10"/>
    </font>
    <font>
      <name val="ＭＳ ゴシック"/>
      <color rgb="FF000000"/>
      <sz val="10"/>
    </font>
    <font>
      <name val="Arial"/>
      <color theme="0"/>
      <sz val="10"/>
    </font>
    <font>
      <name val="Arial"/>
      <b val="1"/>
      <color theme="10"/>
      <sz val="12"/>
      <u val="single"/>
    </font>
    <font>
      <name val="游ゴシック"/>
      <color theme="1"/>
      <sz val="12"/>
    </font>
    <font>
      <name val="Yu Gothic"/>
      <b val="1"/>
      <sz val="13"/>
    </font>
    <font>
      <name val="Yu Gothic"/>
      <i val="1"/>
      <color rgb="00666666"/>
      <sz val="9"/>
    </font>
    <font>
      <name val="Yu Gothic"/>
      <b val="1"/>
      <color rgb="00FFFFFF"/>
      <sz val="11"/>
    </font>
    <font>
      <name val="Yu Gothic"/>
      <b val="1"/>
      <sz val="10"/>
    </font>
    <font>
      <name val="Yu Gothic"/>
      <sz val="10"/>
    </font>
  </fonts>
  <fills count="17">
    <fill>
      <patternFill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AF3BC"/>
        <bgColor rgb="FFFAF3B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D9F1F3"/>
        <bgColor rgb="FFD9F1F3"/>
      </patternFill>
    </fill>
    <fill>
      <patternFill patternType="solid">
        <fgColor rgb="FFD8D8D8"/>
        <bgColor rgb="FFD8D8D8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200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/>
    </xf>
    <xf numFmtId="0" fontId="3" fillId="0" borderId="2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/>
    </xf>
    <xf numFmtId="0" fontId="4" fillId="0" borderId="3" pivotButton="0" quotePrefix="0" xfId="0"/>
    <xf numFmtId="0" fontId="1" fillId="0" borderId="4" pivotButton="0" quotePrefix="0" xfId="0"/>
    <xf numFmtId="0" fontId="2" fillId="2" borderId="5" applyAlignment="1" pivotButton="0" quotePrefix="0" xfId="0">
      <alignment horizontal="center" vertical="center"/>
    </xf>
    <xf numFmtId="0" fontId="1" fillId="2" borderId="5" pivotButton="0" quotePrefix="0" xfId="0"/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8" pivotButton="0" quotePrefix="0" xfId="0"/>
    <xf numFmtId="0" fontId="1" fillId="0" borderId="9" applyAlignment="1" pivotButton="0" quotePrefix="0" xfId="0">
      <alignment horizontal="left"/>
    </xf>
    <xf numFmtId="0" fontId="2" fillId="0" borderId="5" applyAlignment="1" pivotButton="0" quotePrefix="0" xfId="0">
      <alignment horizontal="center" vertical="center"/>
    </xf>
    <xf numFmtId="0" fontId="1" fillId="0" borderId="5" pivotButton="0" quotePrefix="0" xfId="0"/>
    <xf numFmtId="2" fontId="1" fillId="0" borderId="5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 vertical="center"/>
    </xf>
    <xf numFmtId="10" fontId="1" fillId="0" borderId="9" applyAlignment="1" pivotButton="0" quotePrefix="0" xfId="0">
      <alignment horizontal="left"/>
    </xf>
    <xf numFmtId="0" fontId="2" fillId="3" borderId="10" pivotButton="0" quotePrefix="0" xfId="0"/>
    <xf numFmtId="2" fontId="6" fillId="4" borderId="5" applyAlignment="1" pivotButton="0" quotePrefix="0" xfId="0">
      <alignment horizontal="right" vertical="center"/>
    </xf>
    <xf numFmtId="0" fontId="1" fillId="0" borderId="11" pivotButton="0" quotePrefix="0" xfId="0"/>
    <xf numFmtId="0" fontId="1" fillId="0" borderId="12" pivotButton="0" quotePrefix="0" xfId="0"/>
    <xf numFmtId="0" fontId="2" fillId="0" borderId="3" pivotButton="0" quotePrefix="0" xfId="0"/>
    <xf numFmtId="0" fontId="1" fillId="0" borderId="13" applyAlignment="1" pivotButton="0" quotePrefix="0" xfId="0">
      <alignment horizontal="center" vertical="center"/>
    </xf>
    <xf numFmtId="0" fontId="5" fillId="0" borderId="14" pivotButton="0" quotePrefix="0" xfId="0"/>
    <xf numFmtId="0" fontId="5" fillId="0" borderId="9" pivotButton="0" quotePrefix="0" xfId="0"/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center"/>
    </xf>
    <xf numFmtId="0" fontId="5" fillId="0" borderId="17" pivotButton="0" quotePrefix="0" xfId="0"/>
    <xf numFmtId="0" fontId="5" fillId="0" borderId="18" pivotButton="0" quotePrefix="0" xfId="0"/>
    <xf numFmtId="0" fontId="5" fillId="0" borderId="19" pivotButton="0" quotePrefix="0" xfId="0"/>
    <xf numFmtId="0" fontId="5" fillId="0" borderId="20" pivotButton="0" quotePrefix="0" xfId="0"/>
    <xf numFmtId="0" fontId="5" fillId="0" borderId="21" pivotButton="0" quotePrefix="0" xfId="0"/>
    <xf numFmtId="0" fontId="5" fillId="0" borderId="22" pivotButton="0" quotePrefix="0" xfId="0"/>
    <xf numFmtId="0" fontId="1" fillId="0" borderId="0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2" fontId="7" fillId="0" borderId="5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/>
    </xf>
    <xf numFmtId="10" fontId="8" fillId="0" borderId="11" pivotButton="0" quotePrefix="0" xfId="0"/>
    <xf numFmtId="2" fontId="1" fillId="0" borderId="1" pivotButton="0" quotePrefix="0" xfId="0"/>
    <xf numFmtId="2" fontId="1" fillId="0" borderId="0" pivotButton="0" quotePrefix="0" xfId="0"/>
    <xf numFmtId="10" fontId="1" fillId="0" borderId="0" pivotButton="0" quotePrefix="0" xfId="0"/>
    <xf numFmtId="0" fontId="9" fillId="0" borderId="12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0" fontId="1" fillId="0" borderId="1" pivotButton="0" quotePrefix="0" xfId="0"/>
    <xf numFmtId="0" fontId="2" fillId="0" borderId="6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2" fontId="1" fillId="5" borderId="5" applyAlignment="1" pivotButton="0" quotePrefix="0" xfId="0">
      <alignment horizontal="right" vertical="center"/>
    </xf>
    <xf numFmtId="4" fontId="7" fillId="0" borderId="5" applyAlignment="1" pivotButton="0" quotePrefix="0" xfId="0">
      <alignment horizontal="center"/>
    </xf>
    <xf numFmtId="4" fontId="8" fillId="0" borderId="11" pivotButton="0" quotePrefix="0" xfId="0"/>
    <xf numFmtId="4" fontId="8" fillId="0" borderId="1" pivotButton="0" quotePrefix="0" xfId="0"/>
    <xf numFmtId="2" fontId="2" fillId="3" borderId="5" applyAlignment="1" pivotButton="0" quotePrefix="0" xfId="0">
      <alignment horizontal="right" vertical="center"/>
    </xf>
    <xf numFmtId="4" fontId="2" fillId="0" borderId="5" applyAlignment="1" pivotButton="0" quotePrefix="0" xfId="0">
      <alignment horizontal="center"/>
    </xf>
    <xf numFmtId="4" fontId="2" fillId="0" borderId="11" pivotButton="0" quotePrefix="0" xfId="0"/>
    <xf numFmtId="0" fontId="2" fillId="6" borderId="15" applyAlignment="1" pivotButton="0" quotePrefix="0" xfId="0">
      <alignment horizontal="center" vertical="center"/>
    </xf>
    <xf numFmtId="0" fontId="11" fillId="7" borderId="23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right" vertical="top"/>
    </xf>
    <xf numFmtId="0" fontId="5" fillId="0" borderId="24" pivotButton="0" quotePrefix="0" xfId="0"/>
    <xf numFmtId="0" fontId="12" fillId="7" borderId="5" applyAlignment="1" pivotButton="0" quotePrefix="0" xfId="0">
      <alignment horizontal="center" vertical="top"/>
    </xf>
    <xf numFmtId="0" fontId="12" fillId="7" borderId="5" applyAlignment="1" pivotButton="0" quotePrefix="0" xfId="0">
      <alignment horizontal="center" vertical="center"/>
    </xf>
    <xf numFmtId="164" fontId="13" fillId="7" borderId="5" applyAlignment="1" pivotButton="0" quotePrefix="0" xfId="0">
      <alignment horizontal="center" vertical="center"/>
    </xf>
    <xf numFmtId="164" fontId="8" fillId="0" borderId="0" applyAlignment="1" pivotButton="0" quotePrefix="0" xfId="0">
      <alignment horizontal="left" vertical="top"/>
    </xf>
    <xf numFmtId="0" fontId="14" fillId="2" borderId="5" pivotButton="0" quotePrefix="0" xfId="0"/>
    <xf numFmtId="0" fontId="14" fillId="2" borderId="15" applyAlignment="1" pivotButton="0" quotePrefix="0" xfId="0">
      <alignment horizontal="left" vertical="center"/>
    </xf>
    <xf numFmtId="0" fontId="14" fillId="2" borderId="5" pivotButton="0" quotePrefix="0" xfId="0"/>
    <xf numFmtId="0" fontId="15" fillId="5" borderId="5" pivotButton="0" quotePrefix="0" xfId="0"/>
    <xf numFmtId="0" fontId="15" fillId="5" borderId="5" pivotButton="0" quotePrefix="0" xfId="0"/>
    <xf numFmtId="0" fontId="16" fillId="5" borderId="5" applyAlignment="1" pivotButton="0" quotePrefix="0" xfId="0">
      <alignment horizontal="left"/>
    </xf>
    <xf numFmtId="2" fontId="17" fillId="8" borderId="5" applyAlignment="1" pivotButton="0" quotePrefix="0" xfId="0">
      <alignment horizontal="right"/>
    </xf>
    <xf numFmtId="2" fontId="1" fillId="0" borderId="0" applyAlignment="1" pivotButton="0" quotePrefix="0" xfId="0">
      <alignment horizontal="right" vertical="top"/>
    </xf>
    <xf numFmtId="0" fontId="14" fillId="2" borderId="15" pivotButton="0" quotePrefix="0" xfId="0"/>
    <xf numFmtId="0" fontId="16" fillId="5" borderId="5" pivotButton="0" quotePrefix="0" xfId="0"/>
    <xf numFmtId="0" fontId="14" fillId="2" borderId="15" pivotButton="0" quotePrefix="0" xfId="0"/>
    <xf numFmtId="0" fontId="15" fillId="5" borderId="5" applyAlignment="1" pivotButton="0" quotePrefix="0" xfId="0">
      <alignment horizontal="left"/>
    </xf>
    <xf numFmtId="0" fontId="14" fillId="2" borderId="15" applyAlignment="1" pivotButton="0" quotePrefix="0" xfId="0">
      <alignment vertical="center"/>
    </xf>
    <xf numFmtId="164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8" fillId="7" borderId="5" applyAlignment="1" pivotButton="0" quotePrefix="0" xfId="0">
      <alignment horizontal="center" vertical="top"/>
    </xf>
    <xf numFmtId="0" fontId="18" fillId="7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/>
    </xf>
    <xf numFmtId="164" fontId="18" fillId="7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top"/>
    </xf>
    <xf numFmtId="164" fontId="9" fillId="9" borderId="5" applyAlignment="1" pivotButton="0" quotePrefix="0" xfId="0">
      <alignment horizontal="center" vertical="top"/>
    </xf>
    <xf numFmtId="164" fontId="1" fillId="0" borderId="0" applyAlignment="1" pivotButton="0" quotePrefix="0" xfId="0">
      <alignment horizontal="right" vertical="top"/>
    </xf>
    <xf numFmtId="164" fontId="6" fillId="9" borderId="5" applyAlignment="1" pivotButton="0" quotePrefix="0" xfId="0">
      <alignment horizontal="center" vertical="top"/>
    </xf>
    <xf numFmtId="0" fontId="1" fillId="5" borderId="25" applyAlignment="1" pivotButton="0" quotePrefix="0" xfId="0">
      <alignment horizontal="left" vertical="top"/>
    </xf>
    <xf numFmtId="164" fontId="1" fillId="5" borderId="25" applyAlignment="1" pivotButton="0" quotePrefix="0" xfId="0">
      <alignment horizontal="left" vertical="top"/>
    </xf>
    <xf numFmtId="0" fontId="1" fillId="5" borderId="25" applyAlignment="1" pivotButton="0" quotePrefix="0" xfId="0">
      <alignment horizontal="center" vertical="top"/>
    </xf>
    <xf numFmtId="0" fontId="1" fillId="5" borderId="25" applyAlignment="1" pivotButton="0" quotePrefix="0" xfId="0">
      <alignment horizontal="right" vertical="top"/>
    </xf>
    <xf numFmtId="0" fontId="1" fillId="0" borderId="0" applyAlignment="1" pivotButton="0" quotePrefix="0" xfId="0">
      <alignment horizontal="right"/>
    </xf>
    <xf numFmtId="0" fontId="19" fillId="10" borderId="10" pivotButton="0" quotePrefix="0" xfId="0"/>
    <xf numFmtId="0" fontId="1" fillId="0" borderId="8" pivotButton="0" quotePrefix="0" xfId="0"/>
    <xf numFmtId="0" fontId="20" fillId="0" borderId="7" applyAlignment="1" pivotButton="0" quotePrefix="0" xfId="0">
      <alignment horizontal="left"/>
    </xf>
    <xf numFmtId="0" fontId="19" fillId="10" borderId="26" pivotButton="0" quotePrefix="0" xfId="0"/>
    <xf numFmtId="0" fontId="19" fillId="10" borderId="27" pivotButton="0" quotePrefix="0" xfId="0"/>
    <xf numFmtId="0" fontId="19" fillId="10" borderId="28" pivotButton="0" quotePrefix="0" xfId="0"/>
    <xf numFmtId="0" fontId="7" fillId="0" borderId="0" pivotButton="0" quotePrefix="0" xfId="0"/>
    <xf numFmtId="0" fontId="19" fillId="10" borderId="23" pivotButton="0" quotePrefix="0" xfId="0"/>
    <xf numFmtId="0" fontId="1" fillId="6" borderId="5" pivotButton="0" quotePrefix="0" xfId="0"/>
    <xf numFmtId="0" fontId="1" fillId="6" borderId="10" pivotButton="0" quotePrefix="0" xfId="0"/>
    <xf numFmtId="0" fontId="1" fillId="6" borderId="23" pivotButton="0" quotePrefix="0" xfId="0"/>
    <xf numFmtId="0" fontId="1" fillId="6" borderId="29" pivotButton="0" quotePrefix="0" xfId="0"/>
    <xf numFmtId="0" fontId="1" fillId="0" borderId="6" pivotButton="0" quotePrefix="0" xfId="0"/>
    <xf numFmtId="0" fontId="1" fillId="0" borderId="7" pivotButton="0" quotePrefix="0" xfId="0"/>
    <xf numFmtId="0" fontId="21" fillId="6" borderId="30" pivotButton="0" quotePrefix="0" xfId="0"/>
    <xf numFmtId="0" fontId="20" fillId="6" borderId="10" pivotButton="0" quotePrefix="0" xfId="0"/>
    <xf numFmtId="0" fontId="20" fillId="11" borderId="10" pivotButton="0" quotePrefix="0" xfId="0"/>
    <xf numFmtId="0" fontId="20" fillId="11" borderId="23" pivotButton="0" quotePrefix="0" xfId="0"/>
    <xf numFmtId="0" fontId="20" fillId="11" borderId="29" pivotButton="0" quotePrefix="0" xfId="0"/>
    <xf numFmtId="0" fontId="20" fillId="0" borderId="5" pivotButton="0" quotePrefix="0" xfId="0"/>
    <xf numFmtId="0" fontId="21" fillId="0" borderId="6" pivotButton="0" quotePrefix="0" xfId="0"/>
    <xf numFmtId="0" fontId="20" fillId="0" borderId="6" pivotButton="0" quotePrefix="0" xfId="0"/>
    <xf numFmtId="0" fontId="21" fillId="0" borderId="5" pivotButton="0" quotePrefix="0" xfId="0"/>
    <xf numFmtId="0" fontId="20" fillId="0" borderId="7" pivotButton="0" quotePrefix="0" xfId="0"/>
    <xf numFmtId="0" fontId="20" fillId="0" borderId="8" pivotButton="0" quotePrefix="0" xfId="0"/>
    <xf numFmtId="0" fontId="21" fillId="0" borderId="8" pivotButton="0" quotePrefix="0" xfId="0"/>
    <xf numFmtId="0" fontId="22" fillId="0" borderId="8" pivotButton="0" quotePrefix="0" xfId="0"/>
    <xf numFmtId="0" fontId="23" fillId="0" borderId="0" pivotButton="0" quotePrefix="0" xfId="0"/>
    <xf numFmtId="0" fontId="24" fillId="0" borderId="0" pivotButton="0" quotePrefix="0" xfId="0"/>
    <xf numFmtId="0" fontId="19" fillId="10" borderId="31" pivotButton="0" quotePrefix="0" xfId="0"/>
    <xf numFmtId="0" fontId="21" fillId="6" borderId="5" pivotButton="0" quotePrefix="0" xfId="0"/>
    <xf numFmtId="0" fontId="25" fillId="0" borderId="0" pivotButton="0" quotePrefix="0" xfId="0"/>
    <xf numFmtId="0" fontId="26" fillId="0" borderId="0" pivotButton="0" quotePrefix="0" xfId="0"/>
    <xf numFmtId="0" fontId="20" fillId="0" borderId="15" pivotButton="0" quotePrefix="0" xfId="0"/>
    <xf numFmtId="0" fontId="1" fillId="0" borderId="15" pivotButton="0" quotePrefix="0" xfId="0"/>
    <xf numFmtId="0" fontId="21" fillId="0" borderId="16" pivotButton="0" quotePrefix="0" xfId="0"/>
    <xf numFmtId="0" fontId="1" fillId="0" borderId="17" pivotButton="0" quotePrefix="0" xfId="0"/>
    <xf numFmtId="0" fontId="1" fillId="0" borderId="18" pivotButton="0" quotePrefix="0" xfId="0"/>
    <xf numFmtId="0" fontId="1" fillId="0" borderId="16" pivotButton="0" quotePrefix="0" xfId="0"/>
    <xf numFmtId="0" fontId="20" fillId="12" borderId="10" pivotButton="0" quotePrefix="0" xfId="0"/>
    <xf numFmtId="0" fontId="1" fillId="12" borderId="23" pivotButton="0" quotePrefix="0" xfId="0"/>
    <xf numFmtId="0" fontId="21" fillId="12" borderId="23" pivotButton="0" quotePrefix="0" xfId="0"/>
    <xf numFmtId="0" fontId="1" fillId="12" borderId="29" pivotButton="0" quotePrefix="0" xfId="0"/>
    <xf numFmtId="0" fontId="21" fillId="0" borderId="19" pivotButton="0" quotePrefix="0" xfId="0"/>
    <xf numFmtId="0" fontId="1" fillId="0" borderId="19" pivotButton="0" quotePrefix="0" xfId="0"/>
    <xf numFmtId="0" fontId="21" fillId="0" borderId="20" pivotButton="0" quotePrefix="0" xfId="0"/>
    <xf numFmtId="0" fontId="1" fillId="0" borderId="21" pivotButton="0" quotePrefix="0" xfId="0"/>
    <xf numFmtId="0" fontId="1" fillId="0" borderId="22" pivotButton="0" quotePrefix="0" xfId="0"/>
    <xf numFmtId="0" fontId="1" fillId="0" borderId="20" pivotButton="0" quotePrefix="0" xfId="0"/>
    <xf numFmtId="0" fontId="1" fillId="11" borderId="23" pivotButton="0" quotePrefix="0" xfId="0"/>
    <xf numFmtId="0" fontId="21" fillId="11" borderId="23" pivotButton="0" quotePrefix="0" xfId="0"/>
    <xf numFmtId="0" fontId="1" fillId="11" borderId="29" pivotButton="0" quotePrefix="0" xfId="0"/>
    <xf numFmtId="0" fontId="2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0" fillId="0" borderId="20" pivotButton="0" quotePrefix="0" xfId="0"/>
    <xf numFmtId="0" fontId="20" fillId="0" borderId="6" applyAlignment="1" pivotButton="0" quotePrefix="0" xfId="0">
      <alignment horizontal="left"/>
    </xf>
    <xf numFmtId="0" fontId="21" fillId="0" borderId="5" pivotButton="0" quotePrefix="1" xfId="0"/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5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9" pivotButton="0" quotePrefix="0" xfId="0"/>
    <xf numFmtId="0" fontId="2" fillId="0" borderId="5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" fillId="0" borderId="5" applyAlignment="1" pivotButton="0" quotePrefix="0" xfId="0">
      <alignment horizontal="left"/>
    </xf>
    <xf numFmtId="0" fontId="2" fillId="0" borderId="5" applyAlignment="1" pivotButton="0" quotePrefix="0" xfId="0">
      <alignment horizontal="center"/>
    </xf>
    <xf numFmtId="0" fontId="28" fillId="0" borderId="0" pivotButton="0" quotePrefix="0" xfId="0"/>
    <xf numFmtId="0" fontId="29" fillId="0" borderId="0" pivotButton="0" quotePrefix="0" xfId="0"/>
    <xf numFmtId="0" fontId="30" fillId="13" borderId="34" applyAlignment="1" pivotButton="0" quotePrefix="0" xfId="0">
      <alignment vertical="center" wrapText="1"/>
    </xf>
    <xf numFmtId="0" fontId="30" fillId="13" borderId="34" applyAlignment="1" pivotButton="0" quotePrefix="0" xfId="0">
      <alignment horizontal="center" vertical="center" wrapText="1"/>
    </xf>
    <xf numFmtId="0" fontId="31" fillId="14" borderId="34" applyAlignment="1" pivotButton="0" quotePrefix="0" xfId="0">
      <alignment vertical="center" wrapText="1"/>
    </xf>
    <xf numFmtId="0" fontId="31" fillId="14" borderId="34" applyAlignment="1" pivotButton="0" quotePrefix="0" xfId="0">
      <alignment horizontal="center" vertical="center" wrapText="1"/>
    </xf>
    <xf numFmtId="0" fontId="32" fillId="0" borderId="34" applyAlignment="1" pivotButton="0" quotePrefix="0" xfId="0">
      <alignment vertical="center" wrapText="1"/>
    </xf>
    <xf numFmtId="0" fontId="32" fillId="0" borderId="34" applyAlignment="1" pivotButton="0" quotePrefix="0" xfId="0">
      <alignment horizontal="center" vertical="center" wrapText="1"/>
    </xf>
    <xf numFmtId="0" fontId="31" fillId="0" borderId="34" applyAlignment="1" pivotButton="0" quotePrefix="0" xfId="0">
      <alignment vertical="center" wrapText="1"/>
    </xf>
    <xf numFmtId="0" fontId="31" fillId="0" borderId="34" applyAlignment="1" pivotButton="0" quotePrefix="0" xfId="0">
      <alignment horizontal="center" vertical="center" wrapText="1"/>
    </xf>
    <xf numFmtId="0" fontId="31" fillId="15" borderId="34" applyAlignment="1" pivotButton="0" quotePrefix="0" xfId="0">
      <alignment vertical="center" wrapText="1"/>
    </xf>
    <xf numFmtId="0" fontId="31" fillId="15" borderId="34" applyAlignment="1" pivotButton="0" quotePrefix="0" xfId="0">
      <alignment horizontal="center" vertical="center" wrapText="1"/>
    </xf>
    <xf numFmtId="0" fontId="31" fillId="16" borderId="34" applyAlignment="1" pivotButton="0" quotePrefix="0" xfId="0">
      <alignment vertical="center" wrapText="1"/>
    </xf>
    <xf numFmtId="0" fontId="31" fillId="16" borderId="34" applyAlignment="1" pivotButton="0" quotePrefix="0" xfId="0">
      <alignment horizontal="center" vertical="center" wrapText="1"/>
    </xf>
    <xf numFmtId="0" fontId="32" fillId="16" borderId="34" applyAlignment="1" pivotButton="0" quotePrefix="0" xfId="0">
      <alignment vertical="center" wrapText="1"/>
    </xf>
    <xf numFmtId="0" fontId="32" fillId="16" borderId="34" applyAlignment="1" pivotButton="0" quotePrefix="0" xfId="0">
      <alignment horizontal="center" vertical="center" wrapText="1"/>
    </xf>
    <xf numFmtId="0" fontId="29" fillId="16" borderId="34" applyAlignment="1" pivotButton="0" quotePrefix="0" xfId="0">
      <alignment vertical="center" wrapText="1"/>
    </xf>
    <xf numFmtId="0" fontId="29" fillId="16" borderId="34" applyAlignment="1" pivotButton="0" quotePrefix="0" xfId="0">
      <alignment horizontal="center" vertical="center" wrapText="1"/>
    </xf>
    <xf numFmtId="0" fontId="31" fillId="0" borderId="0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6" borderId="5" applyAlignment="1" pivotButton="0" quotePrefix="0" xfId="0">
      <alignment horizontal="center" vertical="center"/>
    </xf>
    <xf numFmtId="0" fontId="0" fillId="0" borderId="24" pivotButton="0" quotePrefix="0" xfId="0"/>
    <xf numFmtId="0" fontId="14" fillId="2" borderId="5" applyAlignment="1" pivotButton="0" quotePrefix="0" xfId="0">
      <alignment horizontal="left" vertical="center"/>
    </xf>
    <xf numFmtId="0" fontId="14" fillId="2" borderId="5" applyAlignment="1" pivotButton="0" quotePrefix="0" xfId="0">
      <alignment vertical="center"/>
    </xf>
    <xf numFmtId="0" fontId="20" fillId="0" borderId="8" applyAlignment="1" pivotButton="0" quotePrefix="0" xfId="0">
      <alignment horizontal="left"/>
    </xf>
    <xf numFmtId="0" fontId="20" fillId="0" borderId="5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externalLink" Target="/xl/externalLinks/externalLink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Relationship Type="http://schemas.openxmlformats.org/officeDocument/2006/relationships/image" Target="/xl/media/image10.png" Id="rId5"/><Relationship Type="http://schemas.openxmlformats.org/officeDocument/2006/relationships/image" Target="/xl/media/image11.png" Id="rId6"/><Relationship Type="http://schemas.openxmlformats.org/officeDocument/2006/relationships/image" Target="/xl/media/image12.png" Id="rId7"/><Relationship Type="http://schemas.openxmlformats.org/officeDocument/2006/relationships/image" Target="/xl/media/image13.png" Id="rId8"/><Relationship Type="http://schemas.openxmlformats.org/officeDocument/2006/relationships/image" Target="/xl/media/image14.png" Id="rId9"/><Relationship Type="http://schemas.openxmlformats.org/officeDocument/2006/relationships/image" Target="/xl/media/image15.png" Id="rId10"/><Relationship Type="http://schemas.openxmlformats.org/officeDocument/2006/relationships/image" Target="/xl/media/image16.png" Id="rId11"/><Relationship Type="http://schemas.openxmlformats.org/officeDocument/2006/relationships/image" Target="/xl/media/image17.png" Id="rId12"/></Relationships>
</file>

<file path=xl/drawings/_rels/drawing3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20.png" Id="rId1"/><Relationship Type="http://schemas.openxmlformats.org/officeDocument/2006/relationships/image" Target="/xl/media/image21.png" Id="rId2"/><Relationship Type="http://schemas.openxmlformats.org/officeDocument/2006/relationships/image" Target="/xl/media/image22.png" Id="rId3"/><Relationship Type="http://schemas.openxmlformats.org/officeDocument/2006/relationships/image" Target="/xl/media/image23.png" Id="rId4"/><Relationship Type="http://schemas.openxmlformats.org/officeDocument/2006/relationships/image" Target="/xl/media/image24.png" Id="rId5"/><Relationship Type="http://schemas.openxmlformats.org/officeDocument/2006/relationships/image" Target="/xl/media/image25.png" Id="rId6"/><Relationship Type="http://schemas.openxmlformats.org/officeDocument/2006/relationships/image" Target="/xl/media/image26.png" Id="rId7"/><Relationship Type="http://schemas.openxmlformats.org/officeDocument/2006/relationships/image" Target="/xl/media/image27.png" Id="rId8"/><Relationship Type="http://schemas.openxmlformats.org/officeDocument/2006/relationships/image" Target="/xl/media/image28.png" Id="rId9"/><Relationship Type="http://schemas.openxmlformats.org/officeDocument/2006/relationships/image" Target="/xl/media/image29.png" Id="rId10"/><Relationship Type="http://schemas.openxmlformats.org/officeDocument/2006/relationships/image" Target="/xl/media/image30.png" Id="rId11"/><Relationship Type="http://schemas.openxmlformats.org/officeDocument/2006/relationships/image" Target="/xl/media/image31.png" Id="rId12"/><Relationship Type="http://schemas.openxmlformats.org/officeDocument/2006/relationships/image" Target="/xl/media/image32.png" Id="rId13"/><Relationship Type="http://schemas.openxmlformats.org/officeDocument/2006/relationships/image" Target="/xl/media/image33.png" Id="rId14"/><Relationship Type="http://schemas.openxmlformats.org/officeDocument/2006/relationships/image" Target="/xl/media/image34.png" Id="rId15"/><Relationship Type="http://schemas.openxmlformats.org/officeDocument/2006/relationships/image" Target="/xl/media/image35.png" Id="rId16"/><Relationship Type="http://schemas.openxmlformats.org/officeDocument/2006/relationships/image" Target="/xl/media/image36.png" Id="rId17"/><Relationship Type="http://schemas.openxmlformats.org/officeDocument/2006/relationships/image" Target="/xl/media/image37.png" Id="rId18"/><Relationship Type="http://schemas.openxmlformats.org/officeDocument/2006/relationships/image" Target="/xl/media/image38.png" Id="rId19"/><Relationship Type="http://schemas.openxmlformats.org/officeDocument/2006/relationships/image" Target="/xl/media/image39.png" Id="rId20"/><Relationship Type="http://schemas.openxmlformats.org/officeDocument/2006/relationships/image" Target="/xl/media/image40.png" Id="rId21"/><Relationship Type="http://schemas.openxmlformats.org/officeDocument/2006/relationships/image" Target="/xl/media/image41.png" Id="rId22"/><Relationship Type="http://schemas.openxmlformats.org/officeDocument/2006/relationships/image" Target="/xl/media/image42.png" Id="rId23"/><Relationship Type="http://schemas.openxmlformats.org/officeDocument/2006/relationships/image" Target="/xl/media/image43.png" Id="rId24"/><Relationship Type="http://schemas.openxmlformats.org/officeDocument/2006/relationships/image" Target="/xl/media/image44.png" Id="rId25"/><Relationship Type="http://schemas.openxmlformats.org/officeDocument/2006/relationships/image" Target="/xl/media/image45.png" Id="rId26"/><Relationship Type="http://schemas.openxmlformats.org/officeDocument/2006/relationships/image" Target="/xl/media/image46.png" Id="rId27"/><Relationship Type="http://schemas.openxmlformats.org/officeDocument/2006/relationships/image" Target="/xl/media/image47.png" Id="rId28"/><Relationship Type="http://schemas.openxmlformats.org/officeDocument/2006/relationships/image" Target="/xl/media/image48.png" Id="rId29"/><Relationship Type="http://schemas.openxmlformats.org/officeDocument/2006/relationships/image" Target="/xl/media/image49.png" Id="rId30"/><Relationship Type="http://schemas.openxmlformats.org/officeDocument/2006/relationships/image" Target="/xl/media/image50.png" Id="rId31"/><Relationship Type="http://schemas.openxmlformats.org/officeDocument/2006/relationships/image" Target="/xl/media/image51.png" Id="rId32"/><Relationship Type="http://schemas.openxmlformats.org/officeDocument/2006/relationships/image" Target="/xl/media/image52.png" Id="rId33"/><Relationship Type="http://schemas.openxmlformats.org/officeDocument/2006/relationships/image" Target="/xl/media/image53.png" Id="rId34"/></Relationships>
</file>

<file path=xl/drawings/_rels/drawing5.xml.rels><Relationships xmlns="http://schemas.openxmlformats.org/package/2006/relationships"><Relationship Type="http://schemas.openxmlformats.org/officeDocument/2006/relationships/image" Target="/xl/media/image54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55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56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57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58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59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60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61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62.png" Id="rId1"/><Relationship Type="http://schemas.openxmlformats.org/officeDocument/2006/relationships/image" Target="/xl/media/image63.png" Id="rId2"/><Relationship Type="http://schemas.openxmlformats.org/officeDocument/2006/relationships/image" Target="/xl/media/image64.png" Id="rId3"/></Relationships>
</file>

<file path=xl/drawings/_rels/drawing14.xml.rels><Relationships xmlns="http://schemas.openxmlformats.org/package/2006/relationships"><Relationship Type="http://schemas.openxmlformats.org/officeDocument/2006/relationships/image" Target="/xl/media/image65.png" Id="rId1"/></Relationships>
</file>

<file path=xl/drawings/drawing1.xml><?xml version="1.0" encoding="utf-8"?>
<wsDr xmlns="http://schemas.openxmlformats.org/drawingml/2006/spreadsheetDrawing">
  <oneCellAnchor>
    <from>
      <col>4</col>
      <colOff>819150</colOff>
      <row>12</row>
      <rowOff>57150</rowOff>
    </from>
    <ext cx="209550" cy="228600"/>
    <pic>
      <nvPicPr>
        <cNvPr id="0" name="image1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95250</colOff>
      <row>12</row>
      <rowOff>57150</rowOff>
    </from>
    <ext cx="228600" cy="228600"/>
    <pic>
      <nvPicPr>
        <cNvPr id="0" name="image1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228600</colOff>
      <row>12</row>
      <rowOff>57150</rowOff>
    </from>
    <ext cx="228600" cy="228600"/>
    <pic>
      <nvPicPr>
        <cNvPr id="0" name="image1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371475</colOff>
      <row>12</row>
      <rowOff>57150</rowOff>
    </from>
    <ext cx="228600" cy="228600"/>
    <pic>
      <nvPicPr>
        <cNvPr id="0" name="image1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514350</colOff>
      <row>12</row>
      <rowOff>57150</rowOff>
    </from>
    <ext cx="228600" cy="228600"/>
    <pic>
      <nvPicPr>
        <cNvPr id="0" name="image1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3</col>
      <colOff>428625</colOff>
      <row>17</row>
      <rowOff>104775</rowOff>
    </from>
    <ext cx="495300" cy="514350"/>
    <pic>
      <nvPicPr>
        <cNvPr id="0" name="image2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419100</colOff>
      <row>17</row>
      <rowOff>104775</rowOff>
    </from>
    <ext cx="238125" cy="24765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428625</colOff>
      <row>22</row>
      <rowOff>180975</rowOff>
    </from>
    <ext cx="495300" cy="514350"/>
    <pic>
      <nvPicPr>
        <cNvPr id="0" name="image2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419100</colOff>
      <row>22</row>
      <rowOff>180975</rowOff>
    </from>
    <ext cx="238125" cy="25717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419100</colOff>
      <row>28</row>
      <rowOff>142875</rowOff>
    </from>
    <ext cx="495300" cy="514350"/>
    <pic>
      <nvPicPr>
        <cNvPr id="0" name="image2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409575</colOff>
      <row>28</row>
      <rowOff>133350</rowOff>
    </from>
    <ext cx="238125" cy="26670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257175</colOff>
      <row>16</row>
      <rowOff>190500</rowOff>
    </from>
    <ext cx="504825" cy="514350"/>
    <pic>
      <nvPicPr>
        <cNvPr id="0" name="image2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18</col>
      <colOff>247650</colOff>
      <row>16</row>
      <rowOff>180975</rowOff>
    </from>
    <ext cx="238125" cy="26670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266700</colOff>
      <row>22</row>
      <rowOff>66675</rowOff>
    </from>
    <ext cx="504825" cy="504825"/>
    <pic>
      <nvPicPr>
        <cNvPr id="0" name="image2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18</col>
      <colOff>257175</colOff>
      <row>22</row>
      <rowOff>66675</rowOff>
    </from>
    <ext cx="238125" cy="24765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257175</colOff>
      <row>28</row>
      <rowOff>28575</rowOff>
    </from>
    <ext cx="504825" cy="504825"/>
    <pic>
      <nvPicPr>
        <cNvPr id="0" name="image2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18</col>
      <colOff>0</colOff>
      <row>28</row>
      <rowOff>0</rowOff>
    </from>
    <ext cx="200025" cy="20002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561975</colOff>
      <row>5</row>
      <rowOff>180975</rowOff>
    </from>
    <ext cx="7210425" cy="361950"/>
    <pic>
      <nvPicPr>
        <cNvPr id="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12</col>
      <colOff>28575</colOff>
      <row>5</row>
      <rowOff>47625</rowOff>
    </from>
    <ext cx="4095750" cy="2286000"/>
    <pic>
      <nvPicPr>
        <cNvPr id="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2</col>
      <colOff>504825</colOff>
      <row>11</row>
      <rowOff>47625</rowOff>
    </from>
    <ext cx="2505075" cy="428625"/>
    <pic>
      <nvPicPr>
        <cNvPr id="0" name="image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238125</colOff>
      <row>17</row>
      <rowOff>152400</rowOff>
    </from>
    <ext cx="2438400" cy="295275"/>
    <pic>
      <nvPicPr>
        <cNvPr id="0" name="image7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238125</colOff>
      <row>10</row>
      <rowOff>0</rowOff>
    </from>
    <ext cx="1590675" cy="161925"/>
    <pic>
      <nvPicPr>
        <cNvPr id="0" name="image6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695325</colOff>
      <row>21</row>
      <rowOff>123825</rowOff>
    </from>
    <ext cx="2505075" cy="438150"/>
    <pic>
      <nvPicPr>
        <cNvPr id="0" name="image6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781050</colOff>
      <row>21</row>
      <rowOff>123825</rowOff>
    </from>
    <ext cx="828675" cy="800100"/>
    <pic>
      <nvPicPr>
        <cNvPr id="0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857250</colOff>
      <row>21</row>
      <rowOff>123825</rowOff>
    </from>
    <ext cx="933450" cy="800100"/>
    <pic>
      <nvPicPr>
        <cNvPr id="0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190500</colOff>
      <row>21</row>
      <rowOff>123825</rowOff>
    </from>
    <ext cx="942975" cy="800100"/>
    <pic>
      <nvPicPr>
        <cNvPr id="0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390525</colOff>
      <row>21</row>
      <rowOff>123825</rowOff>
    </from>
    <ext cx="942975" cy="800100"/>
    <pic>
      <nvPicPr>
        <cNvPr id="0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476250</colOff>
      <row>4</row>
      <rowOff>180975</rowOff>
    </from>
    <ext cx="6153150" cy="6505575"/>
    <pic>
      <nvPicPr>
        <cNvPr id="0" name="image6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600075</colOff>
      <row>13</row>
      <rowOff>152400</rowOff>
    </from>
    <ext cx="1019175" cy="247650"/>
    <pic>
      <nvPicPr>
        <cNvPr id="0" name="image9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619125</colOff>
      <row>22</row>
      <rowOff>142875</rowOff>
    </from>
    <ext cx="247650" cy="276225"/>
    <pic>
      <nvPicPr>
        <cNvPr id="0" name="image13.png" descr="キャレットを左へ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495300</colOff>
      <row>22</row>
      <rowOff>114300</rowOff>
    </from>
    <ext cx="247650" cy="257175"/>
    <pic>
      <nvPicPr>
        <cNvPr id="0" name="image11.png" descr="キャレットを左へ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12</col>
      <colOff>676275</colOff>
      <row>8</row>
      <rowOff>133350</rowOff>
    </from>
    <ext cx="638175" cy="142875"/>
    <pic>
      <nvPicPr>
        <cNvPr id="0" name="image12.png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533400</colOff>
      <row>6</row>
      <rowOff>66675</rowOff>
    </from>
    <ext cx="752475" cy="733425"/>
    <pic>
      <nvPicPr>
        <cNvPr id="0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619125</colOff>
      <row>7</row>
      <rowOff>57150</rowOff>
    </from>
    <ext cx="6829425" cy="5562600"/>
    <pic>
      <nvPicPr>
        <cNvPr id="0" name="image14.png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12</col>
      <colOff>295275</colOff>
      <row>23</row>
      <rowOff>114300</rowOff>
    </from>
    <ext cx="952500" cy="800100"/>
    <pic>
      <nvPicPr>
        <cNvPr id="0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504825</colOff>
      <row>23</row>
      <rowOff>114300</rowOff>
    </from>
    <ext cx="942975" cy="800100"/>
    <pic>
      <nvPicPr>
        <cNvPr id="0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14</col>
      <colOff>704850</colOff>
      <row>23</row>
      <rowOff>114300</rowOff>
    </from>
    <ext cx="942975" cy="800100"/>
    <pic>
      <nvPicPr>
        <cNvPr id="0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38100</colOff>
      <row>23</row>
      <rowOff>114300</rowOff>
    </from>
    <ext cx="942975" cy="800100"/>
    <pic>
      <nvPicPr>
        <cNvPr id="0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142875</colOff>
      <row>24</row>
      <rowOff>104775</rowOff>
    </from>
    <ext cx="247650" cy="257175"/>
    <pic>
      <nvPicPr>
        <cNvPr id="0" name="image11.png" descr="キャレットを左へ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790575</colOff>
      <row>24</row>
      <rowOff>133350</rowOff>
    </from>
    <ext cx="238125" cy="276225"/>
    <pic>
      <nvPicPr>
        <cNvPr id="0" name="image13.png" descr="キャレットを左へ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152400</colOff>
      <row>23</row>
      <rowOff>133350</rowOff>
    </from>
    <ext cx="952500" cy="800100"/>
    <pic>
      <nvPicPr>
        <cNvPr id="0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171450</colOff>
      <row>30</row>
      <rowOff>85725</rowOff>
    </from>
    <ext cx="247650" cy="257175"/>
    <pic>
      <nvPicPr>
        <cNvPr id="0" name="image11.png" descr="キャレットを左へ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819150</colOff>
      <row>30</row>
      <rowOff>114300</rowOff>
    </from>
    <ext cx="238125" cy="257175"/>
    <pic>
      <nvPicPr>
        <cNvPr id="0" name="image13.png" descr="キャレットを左へ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14</col>
      <colOff>295275</colOff>
      <row>13</row>
      <rowOff>38100</rowOff>
    </from>
    <ext cx="2438400" cy="276225"/>
    <pic>
      <nvPicPr>
        <cNvPr id="0" name="image7.png"/>
        <cNvPicPr preferRelativeResize="0"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12</col>
      <colOff>809625</colOff>
      <row>15</row>
      <rowOff>0</rowOff>
    </from>
    <ext cx="400050" cy="409575"/>
    <pic>
      <nvPicPr>
        <cNvPr id="0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12</col>
      <colOff>628650</colOff>
      <row>9</row>
      <rowOff>123825</rowOff>
    </from>
    <ext cx="314325" cy="238125"/>
    <pic>
      <nvPicPr>
        <cNvPr id="0" name="image15.png" descr="ツイッター x 新しいロゴ 丸 - ソーシャルメディアとロゴ アイコン"/>
        <cNvPicPr preferRelativeResize="0"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219075</colOff>
      <row>9</row>
      <rowOff>123825</rowOff>
    </from>
    <ext cx="523875" cy="266700"/>
    <pic>
      <nvPicPr>
        <cNvPr id="0" name="image17.png" descr="Instagram」をApp Storeで"/>
        <cNvPicPr preferRelativeResize="0"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95250</colOff>
      <row>9</row>
      <rowOff>142875</rowOff>
    </from>
    <ext cx="209550" cy="209550"/>
    <pic>
      <nvPicPr>
        <cNvPr id="0" name="image16.png"/>
        <cNvPicPr preferRelativeResize="0"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504825</colOff>
      <row>16</row>
      <rowOff>161925</rowOff>
    </from>
    <ext cx="180975" cy="180975"/>
    <pic>
      <nvPicPr>
        <cNvPr id="0" name="image1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561975</colOff>
      <row>16</row>
      <rowOff>161925</rowOff>
    </from>
    <ext cx="180975" cy="180975"/>
    <pic>
      <nvPicPr>
        <cNvPr id="0" name="image1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638175</colOff>
      <row>16</row>
      <rowOff>161925</rowOff>
    </from>
    <ext cx="180975" cy="180975"/>
    <pic>
      <nvPicPr>
        <cNvPr id="0" name="image1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695325</colOff>
      <row>16</row>
      <rowOff>161925</rowOff>
    </from>
    <ext cx="161925" cy="180975"/>
    <pic>
      <nvPicPr>
        <cNvPr id="0" name="image1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771525</colOff>
      <row>16</row>
      <rowOff>161925</rowOff>
    </from>
    <ext cx="161925" cy="180975"/>
    <pic>
      <nvPicPr>
        <cNvPr id="0" name="image1.png" descr="ハーベイ ボール 100% 単色塗りつぶし"/>
        <cNvPicPr preferRelativeResize="0"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1</col>
      <colOff>704850</colOff>
      <row>31</row>
      <rowOff>123825</rowOff>
    </from>
    <ext cx="1019175" cy="342900"/>
    <pic>
      <nvPicPr>
        <cNvPr id="0" name="image18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1</col>
      <colOff>666750</colOff>
      <row>31</row>
      <rowOff>47625</rowOff>
    </from>
    <ext cx="1019175" cy="361950"/>
    <pic>
      <nvPicPr>
        <cNvPr id="0" name="image18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1</col>
      <colOff>752475</colOff>
      <row>31</row>
      <rowOff>47625</rowOff>
    </from>
    <ext cx="1019175" cy="361950"/>
    <pic>
      <nvPicPr>
        <cNvPr id="0" name="image18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1</col>
      <colOff>714375</colOff>
      <row>31</row>
      <rowOff>142875</rowOff>
    </from>
    <ext cx="1019175" cy="361950"/>
    <pic>
      <nvPicPr>
        <cNvPr id="0" name="image18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9.xml><?xml version="1.0" encoding="utf-8"?>
<wsDr xmlns="http://schemas.openxmlformats.org/drawingml/2006/spreadsheetDrawing">
  <oneCellAnchor>
    <from>
      <col>1</col>
      <colOff>800100</colOff>
      <row>31</row>
      <rowOff>66675</rowOff>
    </from>
    <ext cx="1019175" cy="361950"/>
    <pic>
      <nvPicPr>
        <cNvPr id="0" name="image18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0.xml><?xml version="1.0" encoding="utf-8"?>
<wsDr xmlns="http://schemas.openxmlformats.org/drawingml/2006/spreadsheetDrawing">
  <oneCellAnchor>
    <from>
      <col>1</col>
      <colOff>695325</colOff>
      <row>31</row>
      <rowOff>66675</rowOff>
    </from>
    <ext cx="1019175" cy="361950"/>
    <pic>
      <nvPicPr>
        <cNvPr id="0" name="image18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1.xml><?xml version="1.0" encoding="utf-8"?>
<wsDr xmlns="http://schemas.openxmlformats.org/drawingml/2006/spreadsheetDrawing">
  <oneCellAnchor>
    <from>
      <col>8</col>
      <colOff>476250</colOff>
      <row>10</row>
      <rowOff>76200</rowOff>
    </from>
    <ext cx="180975" cy="247650"/>
    <pic>
      <nvPicPr>
        <cNvPr id="0" name="image19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2.xml><?xml version="1.0" encoding="utf-8"?>
<wsDr xmlns="http://schemas.openxmlformats.org/drawingml/2006/spreadsheetDrawing">
  <oneCellAnchor>
    <from>
      <col>3</col>
      <colOff>47625</colOff>
      <row>6</row>
      <rowOff>19050</rowOff>
    </from>
    <ext cx="3543300" cy="5486400"/>
    <pic>
      <nvPicPr>
        <cNvPr id="0" name="image20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3.xml><?xml version="1.0" encoding="utf-8"?>
<wsDr xmlns="http://schemas.openxmlformats.org/drawingml/2006/spreadsheetDrawing">
  <oneCellAnchor>
    <from>
      <col>4</col>
      <colOff>457200</colOff>
      <row>51</row>
      <rowOff>152400</rowOff>
    </from>
    <ext cx="723900" cy="295275"/>
    <pic>
      <nvPicPr>
        <cNvPr id="0" name="image2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609600</colOff>
      <row>26</row>
      <rowOff>104775</rowOff>
    </from>
    <ext cx="3981450" cy="3505200"/>
    <pic>
      <nvPicPr>
        <cNvPr id="0" name="image2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495300</colOff>
      <row>8</row>
      <rowOff>57150</rowOff>
    </from>
    <ext cx="3543300" cy="5276850"/>
    <pic>
      <nvPicPr>
        <cNvPr id="0" name="image20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4.xml><?xml version="1.0" encoding="utf-8"?>
<wsDr xmlns="http://schemas.openxmlformats.org/drawingml/2006/spreadsheetDrawing">
  <oneCellAnchor>
    <from>
      <col>2</col>
      <colOff>180975</colOff>
      <row>9</row>
      <rowOff>95250</rowOff>
    </from>
    <ext cx="5229225" cy="5400675"/>
    <pic>
      <nvPicPr>
        <cNvPr id="0" name="image2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&#30011;&#38754;&#23450;&#32681;&#19968;&#35239;&#12288;&#65288;From%20Client)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画面定義一覧　（From Client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tabColor rgb="FFFF9900"/>
    <outlinePr summaryBelow="0" summaryRight="0"/>
    <pageSetUpPr fitToPage="1"/>
  </sheetPr>
  <dimension ref="A1:Y213"/>
  <sheetViews>
    <sheetView showGridLines="0" workbookViewId="0">
      <selection activeCell="A1" sqref="A1"/>
    </sheetView>
  </sheetViews>
  <sheetFormatPr baseColWidth="8" defaultColWidth="12.63" defaultRowHeight="15" customHeight="1"/>
  <cols>
    <col width="3.38" customWidth="1" style="158" min="1" max="1"/>
    <col width="4.38" customWidth="1" style="158" min="2" max="2"/>
    <col width="28.75" customWidth="1" style="158" min="3" max="3"/>
    <col width="11" customWidth="1" style="158" min="4" max="4"/>
    <col width="6.25" customWidth="1" style="158" min="5" max="5"/>
    <col width="5.88" customWidth="1" style="158" min="6" max="8"/>
    <col hidden="1" width="8" customWidth="1" style="158" min="9" max="9"/>
    <col hidden="1" width="7" customWidth="1" style="158" min="10" max="10"/>
    <col hidden="1" width="20.25" customWidth="1" style="158" min="11" max="11"/>
  </cols>
  <sheetData>
    <row r="1" ht="15.75" customHeight="1" s="158">
      <c r="A1" s="1" t="n"/>
      <c r="B1" s="2" t="n"/>
      <c r="C1" s="1" t="n"/>
      <c r="D1" s="1" t="n"/>
      <c r="E1" s="1" t="n"/>
      <c r="F1" s="1" t="n"/>
      <c r="G1" s="1" t="n"/>
      <c r="H1" s="1" t="n"/>
      <c r="I1" s="1" t="n"/>
      <c r="J1" s="3" t="n"/>
      <c r="K1" s="4" t="n"/>
      <c r="L1" s="1" t="n"/>
      <c r="M1" s="1" t="n"/>
    </row>
    <row r="2" ht="15.75" customHeight="1" s="158">
      <c r="A2" s="1" t="n"/>
      <c r="B2" s="5" t="inlineStr">
        <is>
          <t>概算見積</t>
        </is>
      </c>
      <c r="C2" s="6" t="n"/>
      <c r="D2" s="1" t="n"/>
      <c r="E2" s="1" t="n"/>
      <c r="F2" s="1" t="n"/>
      <c r="G2" s="1" t="n"/>
      <c r="H2" s="1" t="n"/>
      <c r="I2" s="1" t="n"/>
      <c r="J2" s="3" t="n"/>
      <c r="K2" s="4" t="n"/>
      <c r="L2" s="1" t="n"/>
      <c r="M2" s="1" t="n"/>
    </row>
    <row r="3" ht="9.75" customHeight="1" s="158">
      <c r="A3" s="1" t="n"/>
      <c r="B3" s="7" t="n"/>
      <c r="C3" s="7" t="n"/>
      <c r="D3" s="7" t="n"/>
      <c r="E3" s="7" t="n"/>
      <c r="F3" s="7" t="n"/>
      <c r="G3" s="7" t="n"/>
      <c r="H3" s="7" t="n"/>
      <c r="I3" s="7" t="n"/>
      <c r="J3" s="8" t="n"/>
      <c r="K3" s="9" t="n"/>
      <c r="L3" s="1" t="n"/>
      <c r="M3" s="1" t="n"/>
    </row>
    <row r="4" ht="15.75" customHeight="1" s="158">
      <c r="A4" s="1" t="n"/>
      <c r="B4" s="10" t="inlineStr">
        <is>
          <t>工数集計表</t>
        </is>
      </c>
      <c r="C4" s="7" t="n"/>
      <c r="D4" s="8" t="n"/>
      <c r="E4" s="8" t="n"/>
      <c r="F4" s="8" t="n"/>
      <c r="G4" s="8" t="n"/>
      <c r="H4" s="8" t="n"/>
      <c r="I4" s="8" t="n"/>
      <c r="J4" s="8" t="n"/>
      <c r="K4" s="9" t="n"/>
      <c r="L4" s="1" t="n"/>
      <c r="M4" s="1" t="n"/>
    </row>
    <row r="5" ht="15.75" customHeight="1" s="158">
      <c r="A5" s="11" t="n"/>
      <c r="B5" s="12" t="inlineStr">
        <is>
          <t>#</t>
        </is>
      </c>
      <c r="C5" s="13" t="inlineStr">
        <is>
          <t>項目</t>
        </is>
      </c>
      <c r="D5" s="14" t="inlineStr">
        <is>
          <t>工数（人月）</t>
        </is>
      </c>
      <c r="E5" s="14" t="inlineStr">
        <is>
          <t>備考</t>
        </is>
      </c>
      <c r="F5" s="159" t="n"/>
      <c r="G5" s="159" t="n"/>
      <c r="H5" s="159" t="n"/>
      <c r="I5" s="159" t="n"/>
      <c r="J5" s="160" t="n"/>
      <c r="K5" s="18" t="n"/>
      <c r="L5" s="1" t="n"/>
      <c r="M5" s="1" t="n"/>
    </row>
    <row r="6" ht="15.75" customHeight="1" s="158">
      <c r="A6" s="11" t="n"/>
      <c r="B6" s="19" t="n">
        <v>1</v>
      </c>
      <c r="C6" s="20" t="inlineStr">
        <is>
          <t>開発工数</t>
        </is>
      </c>
      <c r="D6" s="21">
        <f>SUM(D13:D14)</f>
        <v/>
      </c>
      <c r="E6" s="161" t="inlineStr">
        <is>
          <t>下記の1.【内訳】開発工数表を参照</t>
        </is>
      </c>
      <c r="F6" s="159" t="n"/>
      <c r="G6" s="159" t="n"/>
      <c r="H6" s="159" t="n"/>
      <c r="I6" s="159" t="n"/>
      <c r="J6" s="160" t="n"/>
      <c r="K6" s="18" t="n"/>
      <c r="L6" s="1" t="n"/>
      <c r="M6" s="1" t="n"/>
    </row>
    <row r="7" ht="15.75" customHeight="1" s="158">
      <c r="A7" s="11" t="n"/>
      <c r="B7" s="19" t="n">
        <v>2</v>
      </c>
      <c r="C7" s="20" t="inlineStr">
        <is>
          <t>非開発工数</t>
        </is>
      </c>
      <c r="D7" s="21">
        <f>D8-D6</f>
        <v/>
      </c>
      <c r="E7" s="161" t="inlineStr">
        <is>
          <t>下記の2.【内訳】プロジェクト管理工数表を参照</t>
        </is>
      </c>
      <c r="F7" s="159" t="n"/>
      <c r="G7" s="159" t="n"/>
      <c r="H7" s="159" t="n"/>
      <c r="I7" s="159" t="n"/>
      <c r="J7" s="160" t="n"/>
      <c r="K7" s="23">
        <f>D7/D8</f>
        <v/>
      </c>
      <c r="L7" s="1" t="n"/>
      <c r="M7" s="1" t="n"/>
    </row>
    <row r="8" ht="15.75" customHeight="1" s="158">
      <c r="A8" s="1" t="n"/>
      <c r="B8" s="11" t="n"/>
      <c r="C8" s="24" t="inlineStr">
        <is>
          <t>総合計（人月）</t>
        </is>
      </c>
      <c r="D8" s="25">
        <f>D17</f>
        <v/>
      </c>
      <c r="E8" s="26" t="n"/>
      <c r="F8" s="26" t="n"/>
      <c r="G8" s="26" t="n"/>
      <c r="H8" s="26" t="n"/>
      <c r="I8" s="1" t="n"/>
      <c r="J8" s="1" t="n"/>
      <c r="K8" s="4" t="n"/>
      <c r="L8" s="1" t="n"/>
      <c r="M8" s="1" t="n"/>
    </row>
    <row r="9" ht="6" customHeight="1" s="158">
      <c r="A9" s="1" t="n"/>
      <c r="B9" s="1" t="n"/>
      <c r="C9" s="27" t="n"/>
      <c r="D9" s="27" t="n"/>
      <c r="E9" s="1" t="n"/>
      <c r="F9" s="1" t="n"/>
      <c r="G9" s="1" t="n"/>
      <c r="H9" s="1" t="n"/>
      <c r="I9" s="1" t="n"/>
      <c r="J9" s="1" t="n"/>
      <c r="K9" s="4" t="n"/>
      <c r="L9" s="1" t="n"/>
      <c r="M9" s="1" t="n"/>
    </row>
    <row r="10" ht="15.75" customHeight="1" s="158">
      <c r="A10" s="1" t="n"/>
      <c r="B10" s="28" t="inlineStr">
        <is>
          <t>1.【内訳】開発工数</t>
        </is>
      </c>
      <c r="C10" s="7" t="n"/>
      <c r="D10" s="8" t="n"/>
      <c r="E10" s="162" t="n"/>
      <c r="F10" s="162" t="n"/>
      <c r="G10" s="162" t="n"/>
      <c r="H10" s="162" t="n"/>
      <c r="I10" s="163" t="n"/>
      <c r="J10" s="8" t="n"/>
      <c r="K10" s="9" t="n"/>
      <c r="L10" s="1" t="n"/>
      <c r="M10" s="1" t="n"/>
    </row>
    <row r="11" ht="15.75" customHeight="1" s="158">
      <c r="A11" s="11" t="n"/>
      <c r="B11" s="19" t="inlineStr">
        <is>
          <t>No.</t>
        </is>
      </c>
      <c r="C11" s="19" t="inlineStr">
        <is>
          <t>工程</t>
        </is>
      </c>
      <c r="D11" s="19" t="inlineStr">
        <is>
          <t>工数
（人月）</t>
        </is>
      </c>
      <c r="E11" s="164" t="inlineStr">
        <is>
          <t>備考</t>
        </is>
      </c>
      <c r="F11" s="165" t="n"/>
      <c r="G11" s="165" t="n"/>
      <c r="H11" s="166" t="n"/>
      <c r="I11" s="26" t="n"/>
      <c r="J11" s="1" t="n"/>
    </row>
    <row r="12" ht="15.75" customHeight="1" s="158">
      <c r="A12" s="11" t="n"/>
      <c r="B12" s="167" t="n"/>
      <c r="C12" s="167" t="n"/>
      <c r="D12" s="167" t="n"/>
      <c r="E12" s="168" t="n"/>
      <c r="F12" s="169" t="n"/>
      <c r="G12" s="169" t="n"/>
      <c r="H12" s="170" t="n"/>
      <c r="I12" s="26" t="n"/>
      <c r="J12" s="1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</row>
    <row r="13" ht="17.25" customHeight="1" s="158">
      <c r="A13" s="11" t="n"/>
      <c r="B13" s="41" t="n">
        <v>1</v>
      </c>
      <c r="C13" s="42" t="inlineStr">
        <is>
          <t>製造 + UT Fixbug</t>
        </is>
      </c>
      <c r="D13" s="43">
        <f>'3. 詳細見積(JP)　ーEst'!H33</f>
        <v/>
      </c>
      <c r="E13" s="171" t="inlineStr">
        <is>
          <t xml:space="preserve">Dev </t>
        </is>
      </c>
      <c r="F13" s="159" t="n"/>
      <c r="G13" s="159" t="n"/>
      <c r="H13" s="160" t="n"/>
      <c r="I13" s="45">
        <f>D13/D6</f>
        <v/>
      </c>
      <c r="J13" s="46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</row>
    <row r="14" ht="17.25" customHeight="1" s="158">
      <c r="A14" s="11" t="n"/>
      <c r="B14" s="41" t="n">
        <v>2</v>
      </c>
      <c r="C14" s="42" t="inlineStr">
        <is>
          <t>単体試験(UT)</t>
        </is>
      </c>
      <c r="D14" s="43">
        <f>'3. 詳細見積(JP)　ーEst'!I33</f>
        <v/>
      </c>
      <c r="E14" s="171" t="inlineStr">
        <is>
          <t>UT</t>
        </is>
      </c>
      <c r="F14" s="159" t="n"/>
      <c r="G14" s="159" t="n"/>
      <c r="H14" s="160" t="n"/>
      <c r="I14" s="45">
        <f>(D14+#REF!+#REF!)/D6</f>
        <v/>
      </c>
      <c r="J14" s="46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</row>
    <row r="15" ht="15.75" customHeight="1" s="158">
      <c r="A15" s="11" t="n"/>
      <c r="B15" s="41" t="n">
        <v>3</v>
      </c>
      <c r="C15" s="42" t="inlineStr">
        <is>
          <t>開発管理工数</t>
        </is>
      </c>
      <c r="D15" s="21">
        <f>SUM(D13:D14)*0.1</f>
        <v/>
      </c>
      <c r="E15" s="171" t="n"/>
      <c r="F15" s="159" t="n"/>
      <c r="G15" s="159" t="n"/>
      <c r="H15" s="160" t="n"/>
      <c r="I15" s="26" t="n"/>
      <c r="J15" s="1" t="n"/>
    </row>
    <row r="16" ht="15.75" customHeight="1" s="158">
      <c r="A16" s="11" t="n"/>
      <c r="B16" s="41" t="n">
        <v>4</v>
      </c>
      <c r="C16" s="42" t="inlineStr">
        <is>
          <t>資料化・コミュニケーション支援</t>
        </is>
      </c>
      <c r="D16" s="21">
        <f>SUM(D13:D14)*0.05</f>
        <v/>
      </c>
      <c r="E16" s="171" t="n"/>
      <c r="F16" s="159" t="n"/>
      <c r="G16" s="159" t="n"/>
      <c r="H16" s="160" t="n"/>
      <c r="I16" s="40" t="n"/>
      <c r="J16" s="40" t="n"/>
    </row>
    <row r="17" ht="15.75" customHeight="1" s="158">
      <c r="A17" s="11" t="n"/>
      <c r="B17" s="27" t="n"/>
      <c r="C17" s="24" t="inlineStr">
        <is>
          <t>開発工数（人月）</t>
        </is>
      </c>
      <c r="D17" s="25">
        <f>SUM(D13:D16)</f>
        <v/>
      </c>
      <c r="I17" s="48" t="n"/>
      <c r="K17" s="49" t="n"/>
      <c r="L17" s="26" t="n"/>
      <c r="M17" s="1" t="n"/>
    </row>
    <row r="18" ht="7.5" customHeight="1" s="158">
      <c r="A18" s="1" t="n"/>
      <c r="B18" s="1" t="n"/>
      <c r="C18" s="1" t="n"/>
      <c r="D18" s="27" t="n"/>
      <c r="E18" s="27" t="n"/>
      <c r="F18" s="27" t="n"/>
      <c r="G18" s="27" t="n"/>
      <c r="H18" s="27" t="n"/>
      <c r="I18" s="27" t="n"/>
      <c r="J18" s="1" t="n"/>
      <c r="K18" s="4" t="n"/>
      <c r="L18" s="1" t="n"/>
      <c r="M18" s="1" t="n"/>
    </row>
    <row r="19" ht="15.75" customHeight="1" s="158">
      <c r="A19" s="50" t="n"/>
      <c r="B19" s="50" t="n"/>
      <c r="C19" s="51" t="n"/>
      <c r="D19" s="51" t="n"/>
      <c r="E19" s="50" t="n"/>
      <c r="F19" s="50" t="n"/>
      <c r="G19" s="50" t="n"/>
      <c r="H19" s="50" t="n"/>
      <c r="I19" s="50" t="n"/>
      <c r="J19" s="3" t="n"/>
      <c r="K19" s="4" t="n"/>
      <c r="L19" s="1" t="n"/>
      <c r="M19" s="1" t="n"/>
    </row>
    <row r="20" ht="15.75" customHeight="1" s="158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3" t="n"/>
      <c r="K20" s="4" t="n"/>
      <c r="L20" s="1" t="n"/>
      <c r="M20" s="1" t="n"/>
    </row>
    <row r="21" ht="15.75" customHeight="1" s="15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3" t="n"/>
      <c r="K21" s="4" t="n"/>
      <c r="L21" s="1" t="n"/>
      <c r="M21" s="1" t="n"/>
    </row>
    <row r="22" ht="15.75" customHeight="1" s="158">
      <c r="A22" s="1" t="n"/>
      <c r="B22" s="28" t="inlineStr">
        <is>
          <t>3.【内訳】工程・アサイン別工数割合</t>
        </is>
      </c>
      <c r="C22" s="7" t="n"/>
      <c r="D22" s="7" t="n"/>
      <c r="E22" s="7" t="n"/>
      <c r="F22" s="7" t="n"/>
      <c r="G22" s="7" t="n"/>
      <c r="H22" s="7" t="n"/>
      <c r="I22" s="52" t="n"/>
      <c r="J22" s="1" t="n"/>
      <c r="K22" s="4" t="n"/>
      <c r="L22" s="1" t="n"/>
      <c r="M22" s="1" t="n"/>
    </row>
    <row r="23" ht="15.75" customHeight="1" s="158">
      <c r="A23" s="11" t="n"/>
      <c r="B23" s="19" t="inlineStr">
        <is>
          <t>No.</t>
        </is>
      </c>
      <c r="C23" s="19" t="inlineStr">
        <is>
          <t>工程</t>
        </is>
      </c>
      <c r="D23" s="19" t="inlineStr">
        <is>
          <t>工数
（人月）</t>
        </is>
      </c>
      <c r="E23" s="172" t="inlineStr">
        <is>
          <t>職位アサイン工数</t>
        </is>
      </c>
      <c r="F23" s="159" t="n"/>
      <c r="G23" s="159" t="n"/>
      <c r="H23" s="160" t="n"/>
      <c r="I23" s="26" t="n"/>
      <c r="J23" s="1" t="n"/>
      <c r="K23" s="4" t="n"/>
      <c r="L23" s="1" t="n"/>
      <c r="M23" s="1" t="n"/>
    </row>
    <row r="24" ht="15.75" customHeight="1" s="158">
      <c r="A24" s="11" t="n"/>
      <c r="B24" s="167" t="n"/>
      <c r="C24" s="167" t="n"/>
      <c r="D24" s="167" t="n"/>
      <c r="E24" s="54" t="inlineStr">
        <is>
          <t>BrSE</t>
        </is>
      </c>
      <c r="F24" s="54" t="inlineStr">
        <is>
          <t>Tester</t>
        </is>
      </c>
      <c r="G24" s="54" t="inlineStr">
        <is>
          <t>PM</t>
        </is>
      </c>
      <c r="H24" s="54" t="inlineStr">
        <is>
          <t>SE</t>
        </is>
      </c>
      <c r="I24" s="55" t="inlineStr">
        <is>
          <t>subtotal</t>
        </is>
      </c>
      <c r="J24" s="56" t="inlineStr">
        <is>
          <t>diff</t>
        </is>
      </c>
      <c r="K24" s="4" t="n"/>
      <c r="L24" s="1" t="n"/>
      <c r="M24" s="1" t="n"/>
    </row>
    <row r="25" ht="15.75" customHeight="1" s="158">
      <c r="A25" s="11" t="n"/>
      <c r="B25" s="41" t="n">
        <v>1</v>
      </c>
      <c r="C25" s="42" t="inlineStr">
        <is>
          <t>製造 + UT Fixbug</t>
        </is>
      </c>
      <c r="D25" s="57">
        <f>D13</f>
        <v/>
      </c>
      <c r="E25" s="58" t="n"/>
      <c r="F25" s="58" t="n"/>
      <c r="G25" s="58" t="n"/>
      <c r="H25" s="58">
        <f>D25</f>
        <v/>
      </c>
      <c r="I25" s="59">
        <f>SUM(E25:H25)</f>
        <v/>
      </c>
      <c r="J25" s="60">
        <f>I25-D25</f>
        <v/>
      </c>
      <c r="K25" s="4" t="n"/>
      <c r="L25" s="1" t="n"/>
      <c r="M25" s="1" t="n"/>
    </row>
    <row r="26" ht="15.75" customHeight="1" s="158">
      <c r="A26" s="50" t="n"/>
      <c r="B26" s="41" t="n">
        <v>2</v>
      </c>
      <c r="C26" s="42" t="inlineStr">
        <is>
          <t>単体試験(UT)</t>
        </is>
      </c>
      <c r="D26" s="57">
        <f>D14</f>
        <v/>
      </c>
      <c r="E26" s="58" t="n"/>
      <c r="F26" s="58">
        <f>D26</f>
        <v/>
      </c>
      <c r="G26" s="58" t="n"/>
      <c r="H26" s="58" t="n"/>
      <c r="I26" s="59">
        <f>SUM(E26:H26)</f>
        <v/>
      </c>
      <c r="J26" s="60">
        <f>I26-D26</f>
        <v/>
      </c>
      <c r="K26" s="4" t="n"/>
      <c r="L26" s="1" t="n"/>
      <c r="M26" s="1" t="n"/>
    </row>
    <row r="27" ht="15.75" customHeight="1" s="158">
      <c r="A27" s="1" t="n"/>
      <c r="B27" s="41" t="n">
        <v>3</v>
      </c>
      <c r="C27" s="42" t="inlineStr">
        <is>
          <t>開発管理工数</t>
        </is>
      </c>
      <c r="D27" s="57">
        <f>D15</f>
        <v/>
      </c>
      <c r="E27" s="58" t="n"/>
      <c r="F27" s="58" t="n"/>
      <c r="G27" s="58">
        <f>D27</f>
        <v/>
      </c>
      <c r="H27" s="58" t="n"/>
      <c r="I27" s="59">
        <f>SUM(E27:H27)</f>
        <v/>
      </c>
      <c r="J27" s="60">
        <f>I27-D27</f>
        <v/>
      </c>
      <c r="K27" s="4" t="n"/>
      <c r="L27" s="1" t="n"/>
      <c r="M27" s="1" t="n"/>
    </row>
    <row r="28" ht="15.75" customHeight="1" s="158">
      <c r="A28" s="1" t="n"/>
      <c r="B28" s="41" t="n">
        <v>4</v>
      </c>
      <c r="C28" s="42" t="inlineStr">
        <is>
          <t>資料化・コミュニケーション支援</t>
        </is>
      </c>
      <c r="D28" s="57">
        <f>D16</f>
        <v/>
      </c>
      <c r="E28" s="58" t="n">
        <v>0.20723875</v>
      </c>
      <c r="F28" s="58" t="n"/>
      <c r="G28" s="58" t="n"/>
      <c r="H28" s="58" t="n"/>
      <c r="I28" s="59">
        <f>SUM(E28:H28)</f>
        <v/>
      </c>
      <c r="J28" s="60">
        <f>I28-D28</f>
        <v/>
      </c>
      <c r="K28" s="4" t="n"/>
      <c r="L28" s="1" t="n"/>
      <c r="M28" s="1" t="n"/>
    </row>
    <row r="29" ht="15.75" customHeight="1" s="158">
      <c r="A29" s="1" t="n"/>
      <c r="B29" s="27" t="n"/>
      <c r="C29" s="24" t="inlineStr">
        <is>
          <t>開発工数（人月）</t>
        </is>
      </c>
      <c r="D29" s="61">
        <f>SUM(D25:D28)</f>
        <v/>
      </c>
      <c r="E29" s="62">
        <f>SUM(E25:E28)</f>
        <v/>
      </c>
      <c r="F29" s="62">
        <f>SUM(F25:F28)</f>
        <v/>
      </c>
      <c r="G29" s="62">
        <f>SUM(G25:G28)</f>
        <v/>
      </c>
      <c r="H29" s="62">
        <f>SUM(H25:H28)</f>
        <v/>
      </c>
      <c r="I29" s="63">
        <f>SUM(E29:H29)</f>
        <v/>
      </c>
      <c r="J29" s="3" t="n"/>
      <c r="K29" s="4" t="n"/>
      <c r="L29" s="1" t="n"/>
      <c r="M29" s="1" t="n"/>
    </row>
    <row r="30" hidden="1" ht="15.75" customHeight="1" s="158">
      <c r="A30" s="1" t="n"/>
      <c r="B30" s="1" t="n"/>
      <c r="C30" s="1" t="n"/>
      <c r="D30" s="1" t="n"/>
      <c r="E30" s="27" t="n"/>
      <c r="F30" s="27" t="n"/>
      <c r="G30" s="27" t="n"/>
      <c r="H30" s="27" t="n"/>
      <c r="I30" s="1" t="n"/>
      <c r="J30" s="3" t="n"/>
      <c r="K30" s="4" t="n"/>
      <c r="L30" s="1" t="n"/>
      <c r="M30" s="1" t="n"/>
    </row>
    <row r="31" hidden="1" ht="15.75" customHeight="1" s="15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3" t="n"/>
      <c r="K31" s="4" t="n"/>
      <c r="L31" s="1" t="n"/>
      <c r="M31" s="1" t="n"/>
    </row>
    <row r="32" hidden="1" ht="15.75" customHeight="1" s="15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3" t="n"/>
      <c r="K32" s="4" t="n"/>
      <c r="L32" s="1" t="n"/>
      <c r="M32" s="1" t="n"/>
    </row>
    <row r="33" hidden="1" ht="15.75" customHeight="1" s="15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3" t="n"/>
      <c r="K33" s="4" t="n"/>
      <c r="L33" s="1" t="n"/>
      <c r="M33" s="1" t="n"/>
    </row>
    <row r="34" hidden="1" ht="15.75" customHeight="1" s="15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3" t="n"/>
      <c r="K34" s="4" t="n"/>
      <c r="L34" s="1" t="n"/>
      <c r="M34" s="1" t="n"/>
    </row>
    <row r="35" hidden="1" ht="15.75" customHeight="1" s="15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3" t="n"/>
      <c r="K35" s="4" t="n"/>
      <c r="L35" s="1" t="n"/>
      <c r="M35" s="1" t="n"/>
    </row>
    <row r="36" hidden="1" ht="15.75" customHeight="1" s="15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3" t="n"/>
      <c r="K36" s="4" t="n"/>
      <c r="L36" s="1" t="n"/>
      <c r="M36" s="1" t="n"/>
    </row>
    <row r="37" hidden="1" ht="15.75" customHeight="1" s="15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3" t="n"/>
      <c r="K37" s="4" t="n"/>
      <c r="L37" s="1" t="n"/>
      <c r="M37" s="1" t="n"/>
    </row>
    <row r="38" hidden="1" ht="15.75" customHeight="1" s="15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3" t="n"/>
      <c r="K38" s="4" t="n"/>
      <c r="L38" s="1" t="n"/>
      <c r="M38" s="1" t="n"/>
    </row>
    <row r="39" hidden="1" ht="15.75" customHeight="1" s="15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3" t="n"/>
      <c r="K39" s="4" t="n"/>
      <c r="L39" s="1" t="n"/>
      <c r="M39" s="1" t="n"/>
    </row>
    <row r="40" hidden="1" ht="15.75" customHeight="1" s="15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3" t="n"/>
      <c r="K40" s="4" t="n"/>
      <c r="L40" s="1" t="n"/>
      <c r="M40" s="1" t="n"/>
    </row>
    <row r="41" hidden="1" ht="15.75" customHeight="1" s="15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3" t="n"/>
      <c r="K41" s="4" t="n"/>
      <c r="L41" s="1" t="n"/>
      <c r="M41" s="1" t="n"/>
    </row>
    <row r="42" hidden="1" ht="15.75" customHeight="1" s="15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3" t="n"/>
      <c r="K42" s="4" t="n"/>
      <c r="L42" s="1" t="n"/>
      <c r="M42" s="1" t="n"/>
    </row>
    <row r="43" hidden="1" ht="15.75" customHeight="1" s="15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3" t="n"/>
      <c r="K43" s="4" t="n"/>
      <c r="L43" s="1" t="n"/>
      <c r="M43" s="1" t="n"/>
    </row>
    <row r="44" hidden="1" ht="15.75" customHeight="1" s="15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3" t="n"/>
      <c r="K44" s="4" t="n"/>
      <c r="L44" s="1" t="n"/>
      <c r="M44" s="1" t="n"/>
    </row>
    <row r="45" hidden="1" ht="15.75" customHeight="1" s="15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3" t="n"/>
      <c r="K45" s="4" t="n"/>
      <c r="L45" s="1" t="n"/>
      <c r="M45" s="1" t="n"/>
    </row>
    <row r="46" hidden="1" ht="15.75" customHeight="1" s="15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3" t="n"/>
      <c r="K46" s="4" t="n"/>
      <c r="L46" s="1" t="n"/>
      <c r="M46" s="1" t="n"/>
    </row>
    <row r="47" hidden="1" ht="15.75" customHeight="1" s="15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3" t="n"/>
      <c r="K47" s="4" t="n"/>
      <c r="L47" s="1" t="n"/>
      <c r="M47" s="1" t="n"/>
    </row>
    <row r="48" hidden="1" ht="15.75" customHeight="1" s="15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3" t="n"/>
      <c r="K48" s="4" t="n"/>
      <c r="L48" s="1" t="n"/>
      <c r="M48" s="1" t="n"/>
    </row>
    <row r="49" hidden="1" ht="15.75" customHeight="1" s="15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3" t="n"/>
      <c r="K49" s="4" t="n"/>
      <c r="L49" s="1" t="n"/>
      <c r="M49" s="1" t="n"/>
    </row>
    <row r="50" hidden="1" ht="15.75" customHeight="1" s="15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3" t="n"/>
      <c r="K50" s="4" t="n"/>
      <c r="L50" s="1" t="n"/>
      <c r="M50" s="1" t="n"/>
    </row>
    <row r="51" hidden="1" ht="15.75" customHeight="1" s="15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3" t="n"/>
      <c r="K51" s="4" t="n"/>
      <c r="L51" s="1" t="n"/>
      <c r="M51" s="1" t="n"/>
    </row>
    <row r="52" hidden="1" ht="15.75" customHeight="1" s="15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3" t="n"/>
      <c r="K52" s="4" t="n"/>
      <c r="L52" s="1" t="n"/>
      <c r="M52" s="1" t="n"/>
    </row>
    <row r="53" hidden="1" ht="15.75" customHeight="1" s="15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3" t="n"/>
      <c r="K53" s="4" t="n"/>
      <c r="L53" s="1" t="n"/>
      <c r="M53" s="1" t="n"/>
    </row>
    <row r="54" hidden="1" ht="15.75" customHeight="1" s="15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3" t="n"/>
      <c r="K54" s="4" t="n"/>
      <c r="L54" s="1" t="n"/>
      <c r="M54" s="1" t="n"/>
    </row>
    <row r="55" hidden="1" ht="15.75" customHeight="1" s="15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3" t="n"/>
      <c r="K55" s="4" t="n"/>
      <c r="L55" s="1" t="n"/>
      <c r="M55" s="1" t="n"/>
    </row>
    <row r="56" hidden="1" ht="15.75" customHeight="1" s="15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3" t="n"/>
      <c r="K56" s="4" t="n"/>
      <c r="L56" s="1" t="n"/>
      <c r="M56" s="1" t="n"/>
    </row>
    <row r="57" hidden="1" ht="15.75" customHeight="1" s="15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3" t="n"/>
      <c r="K57" s="4" t="n"/>
      <c r="L57" s="1" t="n"/>
      <c r="M57" s="1" t="n"/>
    </row>
    <row r="58" hidden="1" ht="15.75" customHeight="1" s="1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3" t="n"/>
      <c r="K58" s="4" t="n"/>
      <c r="L58" s="1" t="n"/>
      <c r="M58" s="1" t="n"/>
    </row>
    <row r="59" hidden="1" ht="15.75" customHeight="1" s="15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4" t="n"/>
      <c r="L59" s="1" t="n"/>
      <c r="M59" s="1" t="n"/>
    </row>
    <row r="60" hidden="1" ht="15.75" customHeight="1" s="15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4" t="n"/>
      <c r="L60" s="1" t="n"/>
      <c r="M60" s="1" t="n"/>
    </row>
    <row r="61" hidden="1" ht="15.75" customHeight="1" s="15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3" t="n"/>
      <c r="K61" s="4" t="n"/>
      <c r="L61" s="1" t="n"/>
      <c r="M61" s="1" t="n"/>
    </row>
    <row r="62" hidden="1" ht="15.75" customHeight="1" s="15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3" t="n"/>
      <c r="K62" s="4" t="n"/>
      <c r="L62" s="1" t="n"/>
      <c r="M62" s="1" t="n"/>
    </row>
    <row r="63" hidden="1" ht="15.75" customHeight="1" s="15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3" t="n"/>
      <c r="K63" s="4" t="n"/>
      <c r="L63" s="1" t="n"/>
      <c r="M63" s="1" t="n"/>
    </row>
    <row r="64" hidden="1" ht="15.75" customHeight="1" s="15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3" t="n"/>
      <c r="K64" s="4" t="n"/>
      <c r="L64" s="1" t="n"/>
      <c r="M64" s="1" t="n"/>
    </row>
    <row r="65" hidden="1" ht="15.75" customHeight="1" s="15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3" t="n"/>
      <c r="K65" s="4" t="n"/>
      <c r="L65" s="1" t="n"/>
      <c r="M65" s="1" t="n"/>
    </row>
    <row r="66" hidden="1" ht="15.75" customHeight="1" s="15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3" t="n"/>
      <c r="K66" s="4" t="n"/>
      <c r="L66" s="1" t="n"/>
      <c r="M66" s="1" t="n"/>
    </row>
    <row r="67" hidden="1" ht="15.75" customHeight="1" s="15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3" t="n"/>
      <c r="K67" s="4" t="n"/>
      <c r="L67" s="1" t="n"/>
      <c r="M67" s="1" t="n"/>
    </row>
    <row r="68" hidden="1" ht="15.75" customHeight="1" s="15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3" t="n"/>
      <c r="K68" s="4" t="n"/>
      <c r="L68" s="1" t="n"/>
      <c r="M68" s="1" t="n"/>
    </row>
    <row r="69" hidden="1" ht="15.75" customHeight="1" s="15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3" t="n"/>
      <c r="K69" s="4" t="n"/>
      <c r="L69" s="1" t="n"/>
      <c r="M69" s="1" t="n"/>
    </row>
    <row r="70" hidden="1" ht="15.75" customHeight="1" s="15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3" t="n"/>
      <c r="K70" s="4" t="n"/>
      <c r="L70" s="1" t="n"/>
      <c r="M70" s="1" t="n"/>
    </row>
    <row r="71" hidden="1" ht="15.75" customHeight="1" s="15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3" t="n"/>
      <c r="K71" s="4" t="n"/>
      <c r="L71" s="1" t="n"/>
      <c r="M71" s="1" t="n"/>
    </row>
    <row r="72" hidden="1" ht="15.75" customHeight="1" s="15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3" t="n"/>
      <c r="K72" s="4" t="n"/>
      <c r="L72" s="1" t="n"/>
      <c r="M72" s="1" t="n"/>
    </row>
    <row r="73" hidden="1" ht="15.75" customHeight="1" s="15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3" t="n"/>
      <c r="K73" s="4" t="n"/>
      <c r="L73" s="1" t="n"/>
      <c r="M73" s="1" t="n"/>
    </row>
    <row r="74" hidden="1" ht="15.75" customHeight="1" s="15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3" t="n"/>
      <c r="K74" s="4" t="n"/>
      <c r="L74" s="1" t="n"/>
      <c r="M74" s="1" t="n"/>
    </row>
    <row r="75" hidden="1" ht="15.75" customHeight="1" s="15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3" t="n"/>
      <c r="K75" s="4" t="n"/>
      <c r="L75" s="1" t="n"/>
      <c r="M75" s="1" t="n"/>
    </row>
    <row r="76" hidden="1" ht="15.75" customHeight="1" s="15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3" t="n"/>
      <c r="K76" s="4" t="n"/>
      <c r="L76" s="1" t="n"/>
      <c r="M76" s="1" t="n"/>
    </row>
    <row r="77" hidden="1" ht="15.75" customHeight="1" s="15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3" t="n"/>
      <c r="K77" s="4" t="n"/>
      <c r="L77" s="1" t="n"/>
      <c r="M77" s="1" t="n"/>
    </row>
    <row r="78" hidden="1" ht="15.75" customHeight="1" s="15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3" t="n"/>
      <c r="K78" s="4" t="n"/>
      <c r="L78" s="1" t="n"/>
      <c r="M78" s="1" t="n"/>
    </row>
    <row r="79" hidden="1" ht="15.75" customHeight="1" s="15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3" t="n"/>
      <c r="K79" s="4" t="n"/>
      <c r="L79" s="1" t="n"/>
      <c r="M79" s="1" t="n"/>
    </row>
    <row r="80" hidden="1" ht="15.75" customHeight="1" s="15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3" t="n"/>
      <c r="K80" s="4" t="n"/>
      <c r="L80" s="1" t="n"/>
      <c r="M80" s="1" t="n"/>
    </row>
    <row r="81" hidden="1" ht="15.75" customHeight="1" s="15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3" t="n"/>
      <c r="K81" s="4" t="n"/>
      <c r="L81" s="1" t="n"/>
      <c r="M81" s="1" t="n"/>
    </row>
    <row r="82" hidden="1" ht="15.75" customHeight="1" s="15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3" t="n"/>
      <c r="K82" s="4" t="n"/>
      <c r="L82" s="1" t="n"/>
      <c r="M82" s="1" t="n"/>
    </row>
    <row r="83" hidden="1" ht="15.75" customHeight="1" s="15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3" t="n"/>
      <c r="K83" s="4" t="n"/>
      <c r="L83" s="1" t="n"/>
      <c r="M83" s="1" t="n"/>
    </row>
    <row r="84" hidden="1" ht="15.75" customHeight="1" s="15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3" t="n"/>
      <c r="K84" s="4" t="n"/>
      <c r="L84" s="1" t="n"/>
      <c r="M84" s="1" t="n"/>
    </row>
    <row r="85" hidden="1" ht="15.75" customHeight="1" s="15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3" t="n"/>
      <c r="K85" s="4" t="n"/>
      <c r="L85" s="1" t="n"/>
      <c r="M85" s="1" t="n"/>
    </row>
    <row r="86" hidden="1" ht="15.75" customHeight="1" s="15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3" t="n"/>
      <c r="K86" s="4" t="n"/>
      <c r="L86" s="1" t="n"/>
      <c r="M86" s="1" t="n"/>
    </row>
    <row r="87" hidden="1" ht="15.75" customHeight="1" s="15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3" t="n"/>
      <c r="K87" s="4" t="n"/>
      <c r="L87" s="1" t="n"/>
      <c r="M87" s="1" t="n"/>
    </row>
    <row r="88" hidden="1" ht="15.75" customHeight="1" s="15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3" t="n"/>
      <c r="K88" s="4" t="n"/>
      <c r="L88" s="1" t="n"/>
      <c r="M88" s="1" t="n"/>
    </row>
    <row r="89" hidden="1" ht="15.75" customHeight="1" s="15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3" t="n"/>
      <c r="K89" s="4" t="n"/>
      <c r="L89" s="1" t="n"/>
      <c r="M89" s="1" t="n"/>
    </row>
    <row r="90" hidden="1" ht="15.75" customHeight="1" s="15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3" t="n"/>
      <c r="K90" s="4" t="n"/>
      <c r="L90" s="1" t="n"/>
      <c r="M90" s="1" t="n"/>
    </row>
    <row r="91" hidden="1" ht="15.75" customHeight="1" s="15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3" t="n"/>
      <c r="K91" s="4" t="n"/>
      <c r="L91" s="1" t="n"/>
      <c r="M91" s="1" t="n"/>
    </row>
    <row r="92" hidden="1" ht="15.75" customHeight="1" s="15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3" t="n"/>
      <c r="K92" s="4" t="n"/>
      <c r="L92" s="1" t="n"/>
      <c r="M92" s="1" t="n"/>
    </row>
    <row r="93" hidden="1" ht="15.75" customHeight="1" s="15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3" t="n"/>
      <c r="K93" s="4" t="n"/>
      <c r="L93" s="1" t="n"/>
      <c r="M93" s="1" t="n"/>
    </row>
    <row r="94" hidden="1" ht="15.75" customHeight="1" s="15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3" t="n"/>
      <c r="K94" s="4" t="n"/>
      <c r="L94" s="1" t="n"/>
      <c r="M94" s="1" t="n"/>
    </row>
    <row r="95" hidden="1" ht="15.75" customHeight="1" s="15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3" t="n"/>
      <c r="K95" s="4" t="n"/>
      <c r="L95" s="1" t="n"/>
      <c r="M95" s="1" t="n"/>
    </row>
    <row r="96" hidden="1" ht="15.75" customHeight="1" s="15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3" t="n"/>
      <c r="K96" s="4" t="n"/>
      <c r="L96" s="1" t="n"/>
      <c r="M96" s="1" t="n"/>
    </row>
    <row r="97" hidden="1" ht="15.75" customHeight="1" s="15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3" t="n"/>
      <c r="K97" s="4" t="n"/>
      <c r="L97" s="1" t="n"/>
      <c r="M97" s="1" t="n"/>
    </row>
    <row r="98" hidden="1" ht="15.75" customHeight="1" s="15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3" t="n"/>
      <c r="K98" s="4" t="n"/>
      <c r="L98" s="1" t="n"/>
      <c r="M98" s="1" t="n"/>
    </row>
    <row r="99" hidden="1" ht="15.75" customHeight="1" s="15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3" t="n"/>
      <c r="K99" s="4" t="n"/>
      <c r="L99" s="1" t="n"/>
      <c r="M99" s="1" t="n"/>
    </row>
    <row r="100" hidden="1" ht="15.75" customHeight="1" s="15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3" t="n"/>
      <c r="K100" s="4" t="n"/>
      <c r="L100" s="1" t="n"/>
      <c r="M100" s="1" t="n"/>
    </row>
    <row r="101" hidden="1" ht="15.75" customHeight="1" s="15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3" t="n"/>
      <c r="K101" s="4" t="n"/>
      <c r="L101" s="1" t="n"/>
      <c r="M101" s="1" t="n"/>
    </row>
    <row r="102" hidden="1" ht="15.75" customHeight="1" s="15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3" t="n"/>
      <c r="K102" s="4" t="n"/>
      <c r="L102" s="1" t="n"/>
      <c r="M102" s="1" t="n"/>
    </row>
    <row r="103" hidden="1" ht="15.75" customHeight="1" s="15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3" t="n"/>
      <c r="K103" s="4" t="n"/>
      <c r="L103" s="1" t="n"/>
      <c r="M103" s="1" t="n"/>
    </row>
    <row r="104" hidden="1" ht="15.75" customHeight="1" s="15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3" t="n"/>
      <c r="K104" s="4" t="n"/>
      <c r="L104" s="1" t="n"/>
      <c r="M104" s="1" t="n"/>
    </row>
    <row r="105" hidden="1" ht="15.75" customHeight="1" s="15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3" t="n"/>
      <c r="K105" s="4" t="n"/>
      <c r="L105" s="1" t="n"/>
      <c r="M105" s="1" t="n"/>
    </row>
    <row r="106" hidden="1" ht="15.75" customHeight="1" s="15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3" t="n"/>
      <c r="K106" s="4" t="n"/>
      <c r="L106" s="1" t="n"/>
      <c r="M106" s="1" t="n"/>
    </row>
    <row r="107" hidden="1" ht="15.75" customHeight="1" s="15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3" t="n"/>
      <c r="K107" s="4" t="n"/>
      <c r="L107" s="1" t="n"/>
      <c r="M107" s="1" t="n"/>
    </row>
    <row r="108" hidden="1" ht="15.75" customHeight="1" s="15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3" t="n"/>
      <c r="K108" s="4" t="n"/>
      <c r="L108" s="1" t="n"/>
      <c r="M108" s="1" t="n"/>
    </row>
    <row r="109" hidden="1" ht="15.75" customHeight="1" s="15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3" t="n"/>
      <c r="K109" s="4" t="n"/>
      <c r="L109" s="1" t="n"/>
      <c r="M109" s="1" t="n"/>
    </row>
    <row r="110" hidden="1" ht="15.75" customHeight="1" s="15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3" t="n"/>
      <c r="K110" s="4" t="n"/>
      <c r="L110" s="1" t="n"/>
      <c r="M110" s="1" t="n"/>
    </row>
    <row r="111" hidden="1" ht="15.75" customHeight="1" s="15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3" t="n"/>
      <c r="K111" s="4" t="n"/>
      <c r="L111" s="1" t="n"/>
      <c r="M111" s="1" t="n"/>
    </row>
    <row r="112" hidden="1" ht="15.75" customHeight="1" s="15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3" t="n"/>
      <c r="K112" s="4" t="n"/>
      <c r="L112" s="1" t="n"/>
      <c r="M112" s="1" t="n"/>
    </row>
    <row r="113" hidden="1" ht="15.75" customHeight="1" s="15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3" t="n"/>
      <c r="K113" s="4" t="n"/>
      <c r="L113" s="1" t="n"/>
      <c r="M113" s="1" t="n"/>
    </row>
    <row r="114" hidden="1" ht="15.75" customHeight="1" s="15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3" t="n"/>
      <c r="K114" s="4" t="n"/>
      <c r="L114" s="1" t="n"/>
      <c r="M114" s="1" t="n"/>
    </row>
    <row r="115" hidden="1" ht="15.75" customHeight="1" s="15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3" t="n"/>
      <c r="K115" s="4" t="n"/>
      <c r="L115" s="1" t="n"/>
      <c r="M115" s="1" t="n"/>
    </row>
    <row r="116" hidden="1" ht="15.75" customHeight="1" s="15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3" t="n"/>
      <c r="K116" s="4" t="n"/>
      <c r="L116" s="1" t="n"/>
      <c r="M116" s="1" t="n"/>
    </row>
    <row r="117" hidden="1" ht="15.75" customHeight="1" s="15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3" t="n"/>
      <c r="K117" s="4" t="n"/>
      <c r="L117" s="1" t="n"/>
      <c r="M117" s="1" t="n"/>
    </row>
    <row r="118" hidden="1" ht="15.75" customHeight="1" s="15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3" t="n"/>
      <c r="K118" s="4" t="n"/>
      <c r="L118" s="1" t="n"/>
      <c r="M118" s="1" t="n"/>
    </row>
    <row r="119" hidden="1" ht="15.75" customHeight="1" s="15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3" t="n"/>
      <c r="K119" s="4" t="n"/>
      <c r="L119" s="1" t="n"/>
      <c r="M119" s="1" t="n"/>
    </row>
    <row r="120" hidden="1" ht="15.75" customHeight="1" s="15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3" t="n"/>
      <c r="K120" s="4" t="n"/>
      <c r="L120" s="1" t="n"/>
      <c r="M120" s="1" t="n"/>
    </row>
    <row r="121" hidden="1" ht="15.75" customHeight="1" s="15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3" t="n"/>
      <c r="K121" s="4" t="n"/>
      <c r="L121" s="1" t="n"/>
      <c r="M121" s="1" t="n"/>
    </row>
    <row r="122" hidden="1" ht="15.75" customHeight="1" s="15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3" t="n"/>
      <c r="K122" s="4" t="n"/>
      <c r="L122" s="1" t="n"/>
      <c r="M122" s="1" t="n"/>
    </row>
    <row r="123" hidden="1" ht="15.75" customHeight="1" s="15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3" t="n"/>
      <c r="K123" s="4" t="n"/>
      <c r="L123" s="1" t="n"/>
      <c r="M123" s="1" t="n"/>
    </row>
    <row r="124" hidden="1" ht="15.75" customHeight="1" s="15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3" t="n"/>
      <c r="K124" s="4" t="n"/>
      <c r="L124" s="1" t="n"/>
      <c r="M124" s="1" t="n"/>
    </row>
    <row r="125" hidden="1" ht="15.75" customHeight="1" s="15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3" t="n"/>
      <c r="K125" s="4" t="n"/>
      <c r="L125" s="1" t="n"/>
      <c r="M125" s="1" t="n"/>
    </row>
    <row r="126" hidden="1" ht="15.75" customHeight="1" s="15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3" t="n"/>
      <c r="K126" s="4" t="n"/>
      <c r="L126" s="1" t="n"/>
      <c r="M126" s="1" t="n"/>
    </row>
    <row r="127" hidden="1" ht="15.75" customHeight="1" s="15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3" t="n"/>
      <c r="K127" s="4" t="n"/>
      <c r="L127" s="1" t="n"/>
      <c r="M127" s="1" t="n"/>
    </row>
    <row r="128" hidden="1" ht="15.75" customHeight="1" s="15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3" t="n"/>
      <c r="K128" s="4" t="n"/>
      <c r="L128" s="1" t="n"/>
      <c r="M128" s="1" t="n"/>
    </row>
    <row r="129" hidden="1" ht="15.75" customHeight="1" s="15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3" t="n"/>
      <c r="K129" s="4" t="n"/>
      <c r="L129" s="1" t="n"/>
      <c r="M129" s="1" t="n"/>
    </row>
    <row r="130" hidden="1" ht="15.75" customHeight="1" s="15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3" t="n"/>
      <c r="K130" s="4" t="n"/>
      <c r="L130" s="1" t="n"/>
      <c r="M130" s="1" t="n"/>
    </row>
    <row r="131" hidden="1" ht="15.75" customHeight="1" s="15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3" t="n"/>
      <c r="K131" s="4" t="n"/>
      <c r="L131" s="1" t="n"/>
      <c r="M131" s="1" t="n"/>
    </row>
    <row r="132" hidden="1" ht="15.75" customHeight="1" s="15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3" t="n"/>
      <c r="K132" s="4" t="n"/>
      <c r="L132" s="1" t="n"/>
      <c r="M132" s="1" t="n"/>
    </row>
    <row r="133" hidden="1" ht="15.75" customHeight="1" s="15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3" t="n"/>
      <c r="K133" s="4" t="n"/>
      <c r="L133" s="1" t="n"/>
      <c r="M133" s="1" t="n"/>
    </row>
    <row r="134" hidden="1" ht="15.75" customHeight="1" s="15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3" t="n"/>
      <c r="K134" s="4" t="n"/>
      <c r="L134" s="1" t="n"/>
      <c r="M134" s="1" t="n"/>
    </row>
    <row r="135" hidden="1" ht="15.75" customHeight="1" s="15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3" t="n"/>
      <c r="K135" s="4" t="n"/>
      <c r="L135" s="1" t="n"/>
      <c r="M135" s="1" t="n"/>
    </row>
    <row r="136" hidden="1" ht="15.75" customHeight="1" s="15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3" t="n"/>
      <c r="K136" s="4" t="n"/>
      <c r="L136" s="1" t="n"/>
      <c r="M136" s="1" t="n"/>
    </row>
    <row r="137" hidden="1" ht="15.75" customHeight="1" s="15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3" t="n"/>
      <c r="K137" s="4" t="n"/>
      <c r="L137" s="1" t="n"/>
      <c r="M137" s="1" t="n"/>
    </row>
    <row r="138" hidden="1" ht="15.75" customHeight="1" s="15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3" t="n"/>
      <c r="K138" s="4" t="n"/>
      <c r="L138" s="1" t="n"/>
      <c r="M138" s="1" t="n"/>
    </row>
    <row r="139" hidden="1" ht="15.75" customHeight="1" s="15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3" t="n"/>
      <c r="K139" s="4" t="n"/>
      <c r="L139" s="1" t="n"/>
      <c r="M139" s="1" t="n"/>
    </row>
    <row r="140" hidden="1" ht="15.75" customHeight="1" s="15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3" t="n"/>
      <c r="K140" s="4" t="n"/>
      <c r="L140" s="1" t="n"/>
      <c r="M140" s="1" t="n"/>
    </row>
    <row r="141" hidden="1" ht="15.75" customHeight="1" s="15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3" t="n"/>
      <c r="K141" s="4" t="n"/>
      <c r="L141" s="1" t="n"/>
      <c r="M141" s="1" t="n"/>
    </row>
    <row r="142" hidden="1" ht="15.75" customHeight="1" s="15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3" t="n"/>
      <c r="K142" s="4" t="n"/>
      <c r="L142" s="1" t="n"/>
      <c r="M142" s="1" t="n"/>
    </row>
    <row r="143" hidden="1" ht="15.75" customHeight="1" s="15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3" t="n"/>
      <c r="K143" s="4" t="n"/>
      <c r="L143" s="1" t="n"/>
      <c r="M143" s="1" t="n"/>
    </row>
    <row r="144" hidden="1" ht="15.75" customHeight="1" s="15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3" t="n"/>
      <c r="K144" s="4" t="n"/>
      <c r="L144" s="1" t="n"/>
      <c r="M144" s="1" t="n"/>
    </row>
    <row r="145" hidden="1" ht="15.75" customHeight="1" s="15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3" t="n"/>
      <c r="K145" s="4" t="n"/>
      <c r="L145" s="1" t="n"/>
      <c r="M145" s="1" t="n"/>
    </row>
    <row r="146" hidden="1" ht="15.75" customHeight="1" s="15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3" t="n"/>
      <c r="K146" s="4" t="n"/>
      <c r="L146" s="1" t="n"/>
      <c r="M146" s="1" t="n"/>
    </row>
    <row r="147" hidden="1" ht="15.75" customHeight="1" s="15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3" t="n"/>
      <c r="K147" s="4" t="n"/>
      <c r="L147" s="1" t="n"/>
      <c r="M147" s="1" t="n"/>
    </row>
    <row r="148" hidden="1" ht="15.75" customHeight="1" s="15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3" t="n"/>
      <c r="K148" s="4" t="n"/>
      <c r="L148" s="1" t="n"/>
      <c r="M148" s="1" t="n"/>
    </row>
    <row r="149" hidden="1" ht="15.75" customHeight="1" s="15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3" t="n"/>
      <c r="K149" s="4" t="n"/>
      <c r="L149" s="1" t="n"/>
      <c r="M149" s="1" t="n"/>
    </row>
    <row r="150" hidden="1" ht="15.75" customHeight="1" s="15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3" t="n"/>
      <c r="K150" s="4" t="n"/>
      <c r="L150" s="1" t="n"/>
      <c r="M150" s="1" t="n"/>
    </row>
    <row r="151" hidden="1" ht="15.75" customHeight="1" s="15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3" t="n"/>
      <c r="K151" s="4" t="n"/>
      <c r="L151" s="1" t="n"/>
      <c r="M151" s="1" t="n"/>
    </row>
    <row r="152" hidden="1" ht="15.75" customHeight="1" s="15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3" t="n"/>
      <c r="K152" s="4" t="n"/>
      <c r="L152" s="1" t="n"/>
      <c r="M152" s="1" t="n"/>
    </row>
    <row r="153" hidden="1" ht="15.75" customHeight="1" s="15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3" t="n"/>
      <c r="K153" s="4" t="n"/>
      <c r="L153" s="1" t="n"/>
      <c r="M153" s="1" t="n"/>
    </row>
    <row r="154" hidden="1" ht="15.75" customHeight="1" s="15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3" t="n"/>
      <c r="K154" s="4" t="n"/>
      <c r="L154" s="1" t="n"/>
      <c r="M154" s="1" t="n"/>
    </row>
    <row r="155" hidden="1" ht="15.75" customHeight="1" s="15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3" t="n"/>
      <c r="K155" s="4" t="n"/>
      <c r="L155" s="1" t="n"/>
      <c r="M155" s="1" t="n"/>
    </row>
    <row r="156" hidden="1" ht="15.75" customHeight="1" s="15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3" t="n"/>
      <c r="K156" s="4" t="n"/>
      <c r="L156" s="1" t="n"/>
      <c r="M156" s="1" t="n"/>
    </row>
    <row r="157" hidden="1" ht="15.75" customHeight="1" s="15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3" t="n"/>
      <c r="K157" s="4" t="n"/>
      <c r="L157" s="1" t="n"/>
      <c r="M157" s="1" t="n"/>
    </row>
    <row r="158" hidden="1" ht="15.75" customHeight="1" s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3" t="n"/>
      <c r="K158" s="4" t="n"/>
      <c r="L158" s="1" t="n"/>
      <c r="M158" s="1" t="n"/>
    </row>
    <row r="159" hidden="1" ht="15.75" customHeight="1" s="15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3" t="n"/>
      <c r="K159" s="4" t="n"/>
      <c r="L159" s="1" t="n"/>
      <c r="M159" s="1" t="n"/>
    </row>
    <row r="160" hidden="1" ht="15.75" customHeight="1" s="15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3" t="n"/>
      <c r="K160" s="4" t="n"/>
      <c r="L160" s="1" t="n"/>
      <c r="M160" s="1" t="n"/>
    </row>
    <row r="161" hidden="1" ht="15.75" customHeight="1" s="15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3" t="n"/>
      <c r="K161" s="4" t="n"/>
      <c r="L161" s="1" t="n"/>
      <c r="M161" s="1" t="n"/>
    </row>
    <row r="162" hidden="1" ht="15.75" customHeight="1" s="15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3" t="n"/>
      <c r="K162" s="4" t="n"/>
      <c r="L162" s="1" t="n"/>
      <c r="M162" s="1" t="n"/>
    </row>
    <row r="163" hidden="1" ht="15.75" customHeight="1" s="15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3" t="n"/>
      <c r="K163" s="4" t="n"/>
      <c r="L163" s="1" t="n"/>
      <c r="M163" s="1" t="n"/>
    </row>
    <row r="164" hidden="1" ht="15.75" customHeight="1" s="15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3" t="n"/>
      <c r="K164" s="4" t="n"/>
      <c r="L164" s="1" t="n"/>
      <c r="M164" s="1" t="n"/>
    </row>
    <row r="165" hidden="1" ht="15.75" customHeight="1" s="15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3" t="n"/>
      <c r="K165" s="4" t="n"/>
      <c r="L165" s="1" t="n"/>
      <c r="M165" s="1" t="n"/>
    </row>
    <row r="166" hidden="1" ht="15.75" customHeight="1" s="15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3" t="n"/>
      <c r="K166" s="4" t="n"/>
      <c r="L166" s="1" t="n"/>
      <c r="M166" s="1" t="n"/>
    </row>
    <row r="167" hidden="1" ht="15.75" customHeight="1" s="15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3" t="n"/>
      <c r="K167" s="4" t="n"/>
      <c r="L167" s="1" t="n"/>
      <c r="M167" s="1" t="n"/>
    </row>
    <row r="168" hidden="1" ht="15.75" customHeight="1" s="15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3" t="n"/>
      <c r="K168" s="4" t="n"/>
      <c r="L168" s="1" t="n"/>
      <c r="M168" s="1" t="n"/>
    </row>
    <row r="169" hidden="1" ht="15.75" customHeight="1" s="15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3" t="n"/>
      <c r="K169" s="4" t="n"/>
      <c r="L169" s="1" t="n"/>
      <c r="M169" s="1" t="n"/>
    </row>
    <row r="170" hidden="1" ht="15.75" customHeight="1" s="15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3" t="n"/>
      <c r="K170" s="4" t="n"/>
      <c r="L170" s="1" t="n"/>
      <c r="M170" s="1" t="n"/>
    </row>
    <row r="171" hidden="1" ht="15.75" customHeight="1" s="15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3" t="n"/>
      <c r="K171" s="4" t="n"/>
      <c r="L171" s="1" t="n"/>
      <c r="M171" s="1" t="n"/>
    </row>
    <row r="172" hidden="1" ht="15.75" customHeight="1" s="15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3" t="n"/>
      <c r="K172" s="4" t="n"/>
      <c r="L172" s="1" t="n"/>
      <c r="M172" s="1" t="n"/>
    </row>
    <row r="173" hidden="1" ht="15.75" customHeight="1" s="15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3" t="n"/>
      <c r="K173" s="4" t="n"/>
      <c r="L173" s="1" t="n"/>
      <c r="M173" s="1" t="n"/>
    </row>
    <row r="174" hidden="1" ht="15.75" customHeight="1" s="15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3" t="n"/>
      <c r="K174" s="4" t="n"/>
      <c r="L174" s="1" t="n"/>
      <c r="M174" s="1" t="n"/>
    </row>
    <row r="175" hidden="1" ht="15.75" customHeight="1" s="15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3" t="n"/>
      <c r="K175" s="4" t="n"/>
      <c r="L175" s="1" t="n"/>
      <c r="M175" s="1" t="n"/>
    </row>
    <row r="176" hidden="1" ht="15.75" customHeight="1" s="15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3" t="n"/>
      <c r="K176" s="4" t="n"/>
      <c r="L176" s="1" t="n"/>
      <c r="M176" s="1" t="n"/>
    </row>
    <row r="177" hidden="1" ht="15.75" customHeight="1" s="15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3" t="n"/>
      <c r="K177" s="4" t="n"/>
      <c r="L177" s="1" t="n"/>
      <c r="M177" s="1" t="n"/>
    </row>
    <row r="178" hidden="1" ht="15.75" customHeight="1" s="15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3" t="n"/>
      <c r="K178" s="4" t="n"/>
      <c r="L178" s="1" t="n"/>
      <c r="M178" s="1" t="n"/>
    </row>
    <row r="179" hidden="1" ht="15.75" customHeight="1" s="15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3" t="n"/>
      <c r="K179" s="4" t="n"/>
      <c r="L179" s="1" t="n"/>
      <c r="M179" s="1" t="n"/>
    </row>
    <row r="180" hidden="1" ht="15.75" customHeight="1" s="15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3" t="n"/>
      <c r="K180" s="4" t="n"/>
      <c r="L180" s="1" t="n"/>
      <c r="M180" s="1" t="n"/>
    </row>
    <row r="181" hidden="1" ht="15.75" customHeight="1" s="15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3" t="n"/>
      <c r="K181" s="4" t="n"/>
      <c r="L181" s="1" t="n"/>
      <c r="M181" s="1" t="n"/>
    </row>
    <row r="182" hidden="1" ht="15.75" customHeight="1" s="15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3" t="n"/>
      <c r="K182" s="4" t="n"/>
      <c r="L182" s="1" t="n"/>
      <c r="M182" s="1" t="n"/>
    </row>
    <row r="183" hidden="1" ht="15.75" customHeight="1" s="15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3" t="n"/>
      <c r="K183" s="4" t="n"/>
      <c r="L183" s="1" t="n"/>
      <c r="M183" s="1" t="n"/>
    </row>
    <row r="184" hidden="1" ht="15.75" customHeight="1" s="15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3" t="n"/>
      <c r="K184" s="4" t="n"/>
      <c r="L184" s="1" t="n"/>
      <c r="M184" s="1" t="n"/>
    </row>
    <row r="185" hidden="1" ht="15.75" customHeight="1" s="15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3" t="n"/>
      <c r="K185" s="4" t="n"/>
      <c r="L185" s="1" t="n"/>
      <c r="M185" s="1" t="n"/>
    </row>
    <row r="186" hidden="1" ht="15.75" customHeight="1" s="15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3" t="n"/>
      <c r="K186" s="4" t="n"/>
      <c r="L186" s="1" t="n"/>
      <c r="M186" s="1" t="n"/>
    </row>
    <row r="187" hidden="1" ht="15.75" customHeight="1" s="15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3" t="n"/>
      <c r="K187" s="4" t="n"/>
      <c r="L187" s="1" t="n"/>
      <c r="M187" s="1" t="n"/>
    </row>
    <row r="188" hidden="1" ht="15.75" customHeight="1" s="15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3" t="n"/>
      <c r="K188" s="4" t="n"/>
      <c r="L188" s="1" t="n"/>
      <c r="M188" s="1" t="n"/>
    </row>
    <row r="189" hidden="1" ht="15.75" customHeight="1" s="15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3" t="n"/>
      <c r="K189" s="4" t="n"/>
      <c r="L189" s="1" t="n"/>
      <c r="M189" s="1" t="n"/>
    </row>
    <row r="190" hidden="1" ht="15.75" customHeight="1" s="15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3" t="n"/>
      <c r="K190" s="4" t="n"/>
      <c r="L190" s="1" t="n"/>
      <c r="M190" s="1" t="n"/>
    </row>
    <row r="191" hidden="1" ht="15.75" customHeight="1" s="15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3" t="n"/>
      <c r="K191" s="4" t="n"/>
      <c r="L191" s="1" t="n"/>
      <c r="M191" s="1" t="n"/>
    </row>
    <row r="192" hidden="1" ht="15.75" customHeight="1" s="15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3" t="n"/>
      <c r="K192" s="4" t="n"/>
      <c r="L192" s="1" t="n"/>
      <c r="M192" s="1" t="n"/>
    </row>
    <row r="193" hidden="1" ht="15.75" customHeight="1" s="15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3" t="n"/>
      <c r="K193" s="4" t="n"/>
      <c r="L193" s="1" t="n"/>
      <c r="M193" s="1" t="n"/>
    </row>
    <row r="194" hidden="1" ht="15.75" customHeight="1" s="15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3" t="n"/>
      <c r="K194" s="4" t="n"/>
      <c r="L194" s="1" t="n"/>
      <c r="M194" s="1" t="n"/>
    </row>
    <row r="195" hidden="1" ht="15.75" customHeight="1" s="15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3" t="n"/>
      <c r="K195" s="4" t="n"/>
      <c r="L195" s="1" t="n"/>
      <c r="M195" s="1" t="n"/>
    </row>
    <row r="196" hidden="1" ht="15.75" customHeight="1" s="15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3" t="n"/>
      <c r="K196" s="4" t="n"/>
      <c r="L196" s="1" t="n"/>
      <c r="M196" s="1" t="n"/>
    </row>
    <row r="197" hidden="1" ht="15.75" customHeight="1" s="15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3" t="n"/>
      <c r="K197" s="4" t="n"/>
      <c r="L197" s="1" t="n"/>
      <c r="M197" s="1" t="n"/>
    </row>
    <row r="198" hidden="1" ht="15.75" customHeight="1" s="15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3" t="n"/>
      <c r="K198" s="4" t="n"/>
      <c r="L198" s="1" t="n"/>
      <c r="M198" s="1" t="n"/>
    </row>
    <row r="199" hidden="1" ht="15.75" customHeight="1" s="15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3" t="n"/>
      <c r="K199" s="4" t="n"/>
      <c r="L199" s="1" t="n"/>
      <c r="M199" s="1" t="n"/>
    </row>
    <row r="200" hidden="1" ht="15.75" customHeight="1" s="15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3" t="n"/>
      <c r="K200" s="4" t="n"/>
      <c r="L200" s="1" t="n"/>
      <c r="M200" s="1" t="n"/>
    </row>
    <row r="201" hidden="1" ht="15.75" customHeight="1" s="15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3" t="n"/>
      <c r="K201" s="4" t="n"/>
      <c r="L201" s="1" t="n"/>
      <c r="M201" s="1" t="n"/>
    </row>
    <row r="202" hidden="1" ht="15.75" customHeight="1" s="15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3" t="n"/>
      <c r="K202" s="4" t="n"/>
      <c r="L202" s="1" t="n"/>
      <c r="M202" s="1" t="n"/>
    </row>
    <row r="203" hidden="1" ht="15.75" customHeight="1" s="15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3" t="n"/>
      <c r="K203" s="4" t="n"/>
      <c r="L203" s="1" t="n"/>
      <c r="M203" s="1" t="n"/>
    </row>
    <row r="204" hidden="1" ht="15.75" customHeight="1" s="15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3" t="n"/>
      <c r="K204" s="4" t="n"/>
      <c r="L204" s="1" t="n"/>
      <c r="M204" s="1" t="n"/>
    </row>
    <row r="205" hidden="1" ht="15.75" customHeight="1" s="15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3" t="n"/>
      <c r="K205" s="4" t="n"/>
      <c r="L205" s="1" t="n"/>
      <c r="M205" s="1" t="n"/>
    </row>
    <row r="206" hidden="1" ht="15.75" customHeight="1" s="15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3" t="n"/>
      <c r="K206" s="4" t="n"/>
      <c r="L206" s="1" t="n"/>
      <c r="M206" s="1" t="n"/>
    </row>
    <row r="207" hidden="1" ht="15.75" customHeight="1" s="15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3" t="n"/>
      <c r="K207" s="4" t="n"/>
      <c r="L207" s="1" t="n"/>
      <c r="M207" s="1" t="n"/>
    </row>
    <row r="208" hidden="1" ht="15.75" customHeight="1" s="15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3" t="n"/>
      <c r="K208" s="4" t="n"/>
      <c r="L208" s="1" t="n"/>
      <c r="M208" s="1" t="n"/>
    </row>
    <row r="209" hidden="1" ht="15.75" customHeight="1" s="15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3" t="n"/>
      <c r="K209" s="4" t="n"/>
      <c r="L209" s="1" t="n"/>
      <c r="M209" s="1" t="n"/>
    </row>
    <row r="210" hidden="1" ht="15.75" customHeight="1" s="15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3" t="n"/>
      <c r="K210" s="4" t="n"/>
      <c r="L210" s="1" t="n"/>
      <c r="M210" s="1" t="n"/>
    </row>
    <row r="211" hidden="1" ht="15.75" customHeight="1" s="15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3" t="n"/>
      <c r="K211" s="4" t="n"/>
      <c r="L211" s="1" t="n"/>
      <c r="M211" s="1" t="n"/>
    </row>
    <row r="212" hidden="1" ht="15.75" customHeight="1" s="15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3" t="n"/>
      <c r="K212" s="4" t="n"/>
      <c r="L212" s="1" t="n"/>
      <c r="M212" s="1" t="n"/>
    </row>
    <row r="213" hidden="1" ht="15.75" customHeight="1" s="15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3" t="n"/>
      <c r="K213" s="4" t="n"/>
      <c r="L213" s="1" t="n"/>
      <c r="M213" s="1" t="n"/>
    </row>
    <row r="214" hidden="1" ht="15.75" customHeight="1" s="158"/>
    <row r="215" hidden="1" ht="15.75" customHeight="1" s="158"/>
    <row r="216" hidden="1" ht="15.75" customHeight="1" s="158"/>
    <row r="217" hidden="1" ht="15.75" customHeight="1" s="158"/>
    <row r="218" hidden="1" ht="15.75" customHeight="1" s="158"/>
    <row r="219" hidden="1" ht="15.75" customHeight="1" s="158"/>
    <row r="220" hidden="1" ht="15.75" customHeight="1" s="158"/>
    <row r="221" hidden="1" ht="15.75" customHeight="1" s="158"/>
    <row r="222" hidden="1" ht="15.75" customHeight="1" s="158"/>
    <row r="223" hidden="1" ht="15.75" customHeight="1" s="158"/>
    <row r="224" hidden="1" ht="15.75" customHeight="1" s="158"/>
    <row r="225" hidden="1" ht="15.75" customHeight="1" s="158"/>
    <row r="226" hidden="1" ht="15.75" customHeight="1" s="158"/>
    <row r="227" hidden="1" ht="15.75" customHeight="1" s="158"/>
    <row r="228" hidden="1" ht="15.75" customHeight="1" s="158"/>
    <row r="229" hidden="1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</sheetData>
  <mergeCells count="16">
    <mergeCell ref="E14:H14"/>
    <mergeCell ref="B23:B24"/>
    <mergeCell ref="D10:I10"/>
    <mergeCell ref="E23:H23"/>
    <mergeCell ref="C23:C24"/>
    <mergeCell ref="E5:J5"/>
    <mergeCell ref="D23:D24"/>
    <mergeCell ref="B11:B12"/>
    <mergeCell ref="E15:H15"/>
    <mergeCell ref="E16:H16"/>
    <mergeCell ref="C11:C12"/>
    <mergeCell ref="D11:D12"/>
    <mergeCell ref="E7:J7"/>
    <mergeCell ref="E6:J6"/>
    <mergeCell ref="E11:H12"/>
    <mergeCell ref="E13:H13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" customWidth="1" style="158" min="1" max="1"/>
    <col width="8" customWidth="1" style="158" min="2" max="2"/>
    <col width="28" customWidth="1" style="158" min="3" max="3"/>
    <col width="14" customWidth="1" style="158" min="4" max="4"/>
    <col width="14" customWidth="1" style="158" min="5" max="5"/>
    <col width="14" customWidth="1" style="158" min="6" max="6"/>
    <col width="14" customWidth="1" style="158" min="7" max="7"/>
  </cols>
  <sheetData>
    <row r="1">
      <c r="A1" s="173" t="inlineStr">
        <is>
          <t>シナリオ別概算見積 — 1595 AiBo システム開発</t>
        </is>
      </c>
    </row>
    <row r="2">
      <c r="A2" s="174" t="inlineStr">
        <is>
          <t>作成日: 2026-03-31 | 評価者: luongkam, dzung | ※ チームQuân/Đạt見積(6.3MM)をベースに再分析</t>
        </is>
      </c>
    </row>
    <row r="4">
      <c r="A4" s="175" t="inlineStr"/>
      <c r="B4" s="175" t="inlineStr"/>
      <c r="C4" s="175" t="inlineStr"/>
      <c r="D4" s="176" t="inlineStr">
        <is>
          <t>S1</t>
        </is>
      </c>
      <c r="E4" s="176" t="inlineStr">
        <is>
          <t>S2</t>
        </is>
      </c>
      <c r="F4" s="176" t="inlineStr">
        <is>
          <t>S3</t>
        </is>
      </c>
      <c r="G4" s="176" t="inlineStr">
        <is>
          <t>S4</t>
        </is>
      </c>
    </row>
    <row r="5">
      <c r="A5" s="177" t="inlineStr"/>
      <c r="B5" s="177" t="inlineStr"/>
      <c r="C5" s="177" t="inlineStr">
        <is>
          <t>Skrumの担当</t>
        </is>
      </c>
      <c r="D5" s="178" t="inlineStr">
        <is>
          <t>AI + BE</t>
        </is>
      </c>
      <c r="E5" s="178" t="inlineStr">
        <is>
          <t>AI</t>
        </is>
      </c>
      <c r="F5" s="178" t="inlineStr">
        <is>
          <t>テストのみ</t>
        </is>
      </c>
      <c r="G5" s="178" t="inlineStr">
        <is>
          <t>テストのみ</t>
        </is>
      </c>
    </row>
    <row r="6">
      <c r="A6" s="177" t="inlineStr"/>
      <c r="B6" s="177" t="inlineStr"/>
      <c r="C6" s="177" t="inlineStr">
        <is>
          <t>Fabbiの担当</t>
        </is>
      </c>
      <c r="D6" s="178" t="inlineStr">
        <is>
          <t>FEのみ</t>
        </is>
      </c>
      <c r="E6" s="178" t="inlineStr">
        <is>
          <t>BE + FE</t>
        </is>
      </c>
      <c r="F6" s="178" t="inlineStr">
        <is>
          <t>AI+BE+FE</t>
        </is>
      </c>
      <c r="G6" s="178" t="inlineStr">
        <is>
          <t>AI+BE+FE</t>
        </is>
      </c>
    </row>
    <row r="7">
      <c r="A7" s="177" t="inlineStr"/>
      <c r="B7" s="177" t="inlineStr"/>
      <c r="C7" s="177" t="inlineStr">
        <is>
          <t>GT責任</t>
        </is>
      </c>
      <c r="D7" s="178" t="inlineStr">
        <is>
          <t>Skrum</t>
        </is>
      </c>
      <c r="E7" s="178" t="inlineStr">
        <is>
          <t>Fabbi</t>
        </is>
      </c>
      <c r="F7" s="178" t="inlineStr">
        <is>
          <t>Fabbi</t>
        </is>
      </c>
      <c r="G7" s="178" t="inlineStr">
        <is>
          <t>Fabbi</t>
        </is>
      </c>
    </row>
    <row r="8">
      <c r="A8" s="177" t="inlineStr"/>
      <c r="B8" s="177" t="inlineStr"/>
      <c r="C8" s="177" t="inlineStr">
        <is>
          <t>目標品質</t>
        </is>
      </c>
      <c r="D8" s="178" t="inlineStr">
        <is>
          <t>N/A</t>
        </is>
      </c>
      <c r="E8" s="178" t="inlineStr">
        <is>
          <t>~85%
(70%+HITL)</t>
        </is>
      </c>
      <c r="F8" s="178" t="inlineStr">
        <is>
          <t>~90%
(80%+HITL)</t>
        </is>
      </c>
      <c r="G8" s="178" t="inlineStr">
        <is>
          <t>90%
(純AI)</t>
        </is>
      </c>
    </row>
    <row r="10">
      <c r="A10" s="177" t="inlineStr"/>
      <c r="B10" s="177" t="inlineStr">
        <is>
          <t>AI</t>
        </is>
      </c>
      <c r="C10" s="177" t="inlineStr">
        <is>
          <t>AI開発（プロンプト・パイプライン）</t>
        </is>
      </c>
      <c r="D10" s="178" t="inlineStr">
        <is>
          <t>—</t>
        </is>
      </c>
      <c r="E10" s="178" t="n">
        <v>1.2</v>
      </c>
      <c r="F10" s="178" t="n">
        <v>1.8</v>
      </c>
      <c r="G10" s="178" t="n">
        <v>2.5</v>
      </c>
    </row>
    <row r="11">
      <c r="A11" s="179" t="inlineStr"/>
      <c r="B11" s="179" t="inlineStr"/>
      <c r="C11" s="179" t="inlineStr">
        <is>
          <t>AIチューニング・イテレーション</t>
        </is>
      </c>
      <c r="D11" s="180" t="inlineStr">
        <is>
          <t>—</t>
        </is>
      </c>
      <c r="E11" s="180" t="n">
        <v>0.8</v>
      </c>
      <c r="F11" s="180" t="n">
        <v>1.2</v>
      </c>
      <c r="G11" s="180" t="n">
        <v>2</v>
      </c>
    </row>
    <row r="12">
      <c r="A12" s="179" t="inlineStr"/>
      <c r="B12" s="179" t="inlineStr"/>
      <c r="C12" s="179" t="inlineStr">
        <is>
          <t>AIテスト・品質検証</t>
        </is>
      </c>
      <c r="D12" s="180" t="inlineStr">
        <is>
          <t>—</t>
        </is>
      </c>
      <c r="E12" s="180" t="n">
        <v>0.4</v>
      </c>
      <c r="F12" s="180" t="n">
        <v>0.6</v>
      </c>
      <c r="G12" s="180" t="n">
        <v>1</v>
      </c>
    </row>
    <row r="13">
      <c r="A13" s="179" t="inlineStr"/>
      <c r="B13" s="179" t="inlineStr"/>
      <c r="C13" s="179" t="inlineStr">
        <is>
          <t>競合分析機能</t>
        </is>
      </c>
      <c r="D13" s="180" t="inlineStr">
        <is>
          <t>—</t>
        </is>
      </c>
      <c r="E13" s="180" t="n">
        <v>0.4</v>
      </c>
      <c r="F13" s="180" t="n">
        <v>0.8</v>
      </c>
      <c r="G13" s="180" t="n">
        <v>1</v>
      </c>
    </row>
    <row r="14">
      <c r="A14" s="179" t="inlineStr"/>
      <c r="B14" s="179" t="inlineStr"/>
      <c r="C14" s="179" t="inlineStr">
        <is>
          <t>テンプレート設定・マーケットプレイス</t>
        </is>
      </c>
      <c r="D14" s="180" t="inlineStr">
        <is>
          <t>—</t>
        </is>
      </c>
      <c r="E14" s="180" t="n">
        <v>0.6</v>
      </c>
      <c r="F14" s="180" t="n">
        <v>0.9</v>
      </c>
      <c r="G14" s="180" t="n">
        <v>1</v>
      </c>
    </row>
    <row r="15">
      <c r="A15" s="181" t="inlineStr"/>
      <c r="B15" s="181" t="inlineStr"/>
      <c r="C15" s="181" t="inlineStr">
        <is>
          <t>AI 小計</t>
        </is>
      </c>
      <c r="D15" s="182" t="inlineStr">
        <is>
          <t>—</t>
        </is>
      </c>
      <c r="E15" s="182" t="n">
        <v>3.4</v>
      </c>
      <c r="F15" s="182" t="n">
        <v>5.3</v>
      </c>
      <c r="G15" s="182" t="n">
        <v>7.5</v>
      </c>
    </row>
    <row r="17">
      <c r="A17" s="177" t="inlineStr"/>
      <c r="B17" s="177" t="inlineStr">
        <is>
          <t>BE</t>
        </is>
      </c>
      <c r="C17" s="177" t="inlineStr">
        <is>
          <t>API / データベース設計</t>
        </is>
      </c>
      <c r="D17" s="178" t="inlineStr">
        <is>
          <t>—</t>
        </is>
      </c>
      <c r="E17" s="178" t="n">
        <v>1</v>
      </c>
      <c r="F17" s="178" t="n">
        <v>1</v>
      </c>
      <c r="G17" s="178" t="n">
        <v>1</v>
      </c>
    </row>
    <row r="18">
      <c r="A18" s="179" t="inlineStr"/>
      <c r="B18" s="179" t="inlineStr"/>
      <c r="C18" s="179" t="inlineStr">
        <is>
          <t>認証 / テナント管理</t>
        </is>
      </c>
      <c r="D18" s="180" t="inlineStr">
        <is>
          <t>—</t>
        </is>
      </c>
      <c r="E18" s="180" t="n">
        <v>0.5</v>
      </c>
      <c r="F18" s="180" t="n">
        <v>0.5</v>
      </c>
      <c r="G18" s="180" t="n">
        <v>0.5</v>
      </c>
    </row>
    <row r="19">
      <c r="A19" s="179" t="inlineStr"/>
      <c r="B19" s="179" t="inlineStr"/>
      <c r="C19" s="179" t="inlineStr">
        <is>
          <t>ファイルストレージ</t>
        </is>
      </c>
      <c r="D19" s="180" t="inlineStr">
        <is>
          <t>—</t>
        </is>
      </c>
      <c r="E19" s="180" t="n">
        <v>0.3</v>
      </c>
      <c r="F19" s="180" t="n">
        <v>0.3</v>
      </c>
      <c r="G19" s="180" t="n">
        <v>0.3</v>
      </c>
    </row>
    <row r="20">
      <c r="A20" s="179" t="inlineStr"/>
      <c r="B20" s="179" t="inlineStr"/>
      <c r="C20" s="179" t="inlineStr">
        <is>
          <t>課金・プラン管理</t>
        </is>
      </c>
      <c r="D20" s="180" t="inlineStr">
        <is>
          <t>—</t>
        </is>
      </c>
      <c r="E20" s="180" t="n">
        <v>0.3</v>
      </c>
      <c r="F20" s="180" t="n">
        <v>0.3</v>
      </c>
      <c r="G20" s="180" t="n">
        <v>0.3</v>
      </c>
    </row>
    <row r="21">
      <c r="A21" s="181" t="inlineStr"/>
      <c r="B21" s="181" t="inlineStr"/>
      <c r="C21" s="181" t="inlineStr">
        <is>
          <t>BE 小計</t>
        </is>
      </c>
      <c r="D21" s="182" t="inlineStr">
        <is>
          <t>—</t>
        </is>
      </c>
      <c r="E21" s="182" t="n">
        <v>2.1</v>
      </c>
      <c r="F21" s="182" t="n">
        <v>2.1</v>
      </c>
      <c r="G21" s="182" t="n">
        <v>2.1</v>
      </c>
    </row>
    <row r="23">
      <c r="A23" s="177" t="inlineStr"/>
      <c r="B23" s="177" t="inlineStr">
        <is>
          <t>FE</t>
        </is>
      </c>
      <c r="C23" s="177" t="inlineStr">
        <is>
          <t>ユーザアプリ UI</t>
        </is>
      </c>
      <c r="D23" s="178" t="n">
        <v>1</v>
      </c>
      <c r="E23" s="178" t="n">
        <v>1</v>
      </c>
      <c r="F23" s="178" t="n">
        <v>1</v>
      </c>
      <c r="G23" s="178" t="n">
        <v>1</v>
      </c>
    </row>
    <row r="24">
      <c r="A24" s="179" t="inlineStr"/>
      <c r="B24" s="179" t="inlineStr"/>
      <c r="C24" s="179" t="inlineStr">
        <is>
          <t>管理アプリ UI</t>
        </is>
      </c>
      <c r="D24" s="180" t="n">
        <v>0.5</v>
      </c>
      <c r="E24" s="180" t="n">
        <v>0.5</v>
      </c>
      <c r="F24" s="180" t="n">
        <v>0.5</v>
      </c>
      <c r="G24" s="180" t="n">
        <v>0.5</v>
      </c>
    </row>
    <row r="25">
      <c r="A25" s="179" t="inlineStr"/>
      <c r="B25" s="179" t="inlineStr"/>
      <c r="C25" s="179" t="inlineStr">
        <is>
          <t>HITL レビュー UI</t>
        </is>
      </c>
      <c r="D25" s="180" t="inlineStr">
        <is>
          <t>—</t>
        </is>
      </c>
      <c r="E25" s="180" t="n">
        <v>0.5</v>
      </c>
      <c r="F25" s="180" t="n">
        <v>0.5</v>
      </c>
      <c r="G25" s="180" t="inlineStr">
        <is>
          <t>—</t>
        </is>
      </c>
    </row>
    <row r="26">
      <c r="A26" s="181" t="inlineStr"/>
      <c r="B26" s="181" t="inlineStr"/>
      <c r="C26" s="181" t="inlineStr">
        <is>
          <t>FE 小計</t>
        </is>
      </c>
      <c r="D26" s="182" t="n">
        <v>1.5</v>
      </c>
      <c r="E26" s="182" t="n">
        <v>2</v>
      </c>
      <c r="F26" s="182" t="n">
        <v>2</v>
      </c>
      <c r="G26" s="182" t="n">
        <v>1.5</v>
      </c>
    </row>
    <row r="28">
      <c r="A28" s="177" t="inlineStr"/>
      <c r="B28" s="177" t="inlineStr">
        <is>
          <t>Other</t>
        </is>
      </c>
      <c r="C28" s="177" t="inlineStr">
        <is>
          <t>Skrum API連携</t>
        </is>
      </c>
      <c r="D28" s="178" t="n">
        <v>0.8</v>
      </c>
      <c r="E28" s="178" t="inlineStr">
        <is>
          <t>—</t>
        </is>
      </c>
      <c r="F28" s="178" t="inlineStr">
        <is>
          <t>—</t>
        </is>
      </c>
      <c r="G28" s="178" t="inlineStr">
        <is>
          <t>—</t>
        </is>
      </c>
    </row>
    <row r="29">
      <c r="A29" s="179" t="inlineStr"/>
      <c r="B29" s="179" t="inlineStr"/>
      <c r="C29" s="179" t="inlineStr">
        <is>
          <t>PM / BrSE</t>
        </is>
      </c>
      <c r="D29" s="180" t="n">
        <v>0.3</v>
      </c>
      <c r="E29" s="180" t="n">
        <v>0.4</v>
      </c>
      <c r="F29" s="180" t="n">
        <v>0.4</v>
      </c>
      <c r="G29" s="180" t="n">
        <v>0.4</v>
      </c>
    </row>
    <row r="30">
      <c r="A30" s="181" t="inlineStr"/>
      <c r="B30" s="181" t="inlineStr"/>
      <c r="C30" s="181" t="inlineStr">
        <is>
          <t>Other 小計</t>
        </is>
      </c>
      <c r="D30" s="182" t="n">
        <v>1.1</v>
      </c>
      <c r="E30" s="182" t="n">
        <v>0.4</v>
      </c>
      <c r="F30" s="182" t="n">
        <v>0.4</v>
      </c>
      <c r="G30" s="182" t="n">
        <v>0.4</v>
      </c>
    </row>
    <row r="32">
      <c r="A32" s="175" t="inlineStr"/>
      <c r="B32" s="175" t="inlineStr"/>
      <c r="C32" s="175" t="inlineStr">
        <is>
          <t>合計（人月）</t>
        </is>
      </c>
      <c r="D32" s="176" t="n">
        <v>2.6</v>
      </c>
      <c r="E32" s="176" t="n">
        <v>7.9</v>
      </c>
      <c r="F32" s="176" t="n">
        <v>9.800000000000001</v>
      </c>
      <c r="G32" s="176" t="n">
        <v>11.5</v>
      </c>
    </row>
    <row r="33">
      <c r="A33" s="183" t="inlineStr"/>
      <c r="B33" s="183" t="inlineStr"/>
      <c r="C33" s="183" t="inlineStr">
        <is>
          <t>推奨</t>
        </is>
      </c>
      <c r="D33" s="184" t="inlineStr"/>
      <c r="E33" s="184" t="inlineStr">
        <is>
          <t>★</t>
        </is>
      </c>
      <c r="F33" s="184" t="inlineStr">
        <is>
          <t>★★</t>
        </is>
      </c>
      <c r="G33" s="184" t="inlineStr"/>
    </row>
    <row r="35">
      <c r="A35" s="185" t="inlineStr"/>
      <c r="B35" s="185" t="inlineStr"/>
      <c r="C35" s="185" t="inlineStr">
        <is>
          <t>参考：チームQuân/Đạt見積</t>
        </is>
      </c>
      <c r="D35" s="186" t="inlineStr"/>
      <c r="E35" s="186" t="inlineStr"/>
      <c r="F35" s="186" t="inlineStr"/>
      <c r="G35" s="186" t="inlineStr"/>
    </row>
    <row r="36">
      <c r="A36" s="187" t="inlineStr"/>
      <c r="B36" s="187" t="inlineStr"/>
      <c r="C36" s="187" t="inlineStr">
        <is>
          <t>元の見積（AI+BE+FE一括）</t>
        </is>
      </c>
      <c r="D36" s="188" t="inlineStr"/>
      <c r="E36" s="188" t="n">
        <v>6.3</v>
      </c>
      <c r="F36" s="188" t="inlineStr"/>
      <c r="G36" s="188" t="inlineStr"/>
    </row>
    <row r="37">
      <c r="A37" s="187" t="inlineStr"/>
      <c r="B37" s="187" t="inlineStr"/>
      <c r="C37" s="187" t="inlineStr">
        <is>
          <t>差分（本見積 - 元見積）</t>
        </is>
      </c>
      <c r="D37" s="188" t="inlineStr"/>
      <c r="E37" s="188" t="inlineStr">
        <is>
          <t>+1.6</t>
        </is>
      </c>
      <c r="F37" s="188" t="inlineStr">
        <is>
          <t>+3.5</t>
        </is>
      </c>
      <c r="G37" s="188" t="inlineStr">
        <is>
          <t>+5.2</t>
        </is>
      </c>
    </row>
    <row r="38">
      <c r="A38" s="189" t="inlineStr"/>
      <c r="B38" s="189" t="inlineStr"/>
      <c r="C38" s="189" t="inlineStr">
        <is>
          <t>差分の原因</t>
        </is>
      </c>
      <c r="D38" s="190" t="inlineStr"/>
      <c r="E38" s="190" t="inlineStr">
        <is>
          <t>HITL UI
+AI tuning</t>
        </is>
      </c>
      <c r="F38" s="190" t="inlineStr">
        <is>
          <t>Full AI
pipeline</t>
        </is>
      </c>
      <c r="G38" s="190" t="inlineStr">
        <is>
          <t>90%純AI
は高コスト</t>
        </is>
      </c>
    </row>
    <row r="40">
      <c r="A40" s="191" t="inlineStr">
        <is>
          <t>■ GT（Ground Truth）マッチレベル定義</t>
        </is>
      </c>
    </row>
    <row r="41">
      <c r="A41" s="179" t="inlineStr"/>
      <c r="B41" s="179" t="inlineStr"/>
      <c r="C41" s="179" t="inlineStr">
        <is>
          <t>70%</t>
        </is>
      </c>
      <c r="D41" s="180" t="inlineStr">
        <is>
          <t>Structure + Format正、内容は方向性合致。数値に誤りあり。編集 ~15-20分/件</t>
        </is>
      </c>
      <c r="E41" s="192" t="n"/>
      <c r="F41" s="192" t="n"/>
      <c r="G41" s="193" t="n"/>
    </row>
    <row r="42">
      <c r="A42" s="179" t="inlineStr"/>
      <c r="B42" s="179" t="inlineStr"/>
      <c r="C42" s="179" t="inlineStr">
        <is>
          <t>80%</t>
        </is>
      </c>
      <c r="D42" s="180" t="inlineStr">
        <is>
          <t>内容の精度向上、JP形式準拠。編集 ~5-10分/件</t>
        </is>
      </c>
      <c r="E42" s="192" t="n"/>
      <c r="F42" s="192" t="n"/>
      <c r="G42" s="193" t="n"/>
    </row>
    <row r="43">
      <c r="A43" s="179" t="inlineStr"/>
      <c r="B43" s="179" t="inlineStr"/>
      <c r="C43" s="179" t="inlineStr">
        <is>
          <t>90%</t>
        </is>
      </c>
      <c r="D43" s="180" t="inlineStr">
        <is>
          <t>ほぼそのまま使用可能。確認 ~2-3分/件</t>
        </is>
      </c>
      <c r="E43" s="192" t="n"/>
      <c r="F43" s="192" t="n"/>
      <c r="G43" s="193" t="n"/>
    </row>
    <row r="45">
      <c r="A45" s="174" t="inlineStr">
        <is>
          <t>■ HITL（Human-In-The-Loop）= AI下書き → ユーザーレビュー/編集 → 確定。+0.5MM で品質+15%向上</t>
        </is>
      </c>
    </row>
    <row r="47">
      <c r="A47" s="174" t="inlineStr">
        <is>
          <t>■ 注意事項</t>
        </is>
      </c>
    </row>
    <row r="48">
      <c r="A48" s="174" t="inlineStr">
        <is>
          <t>• AI API実行コスト（OpenAI/Claude等）は別途</t>
        </is>
      </c>
    </row>
    <row r="49">
      <c r="A49" s="174" t="inlineStr">
        <is>
          <t>• ホスティング・インフラ・保守費用は別途</t>
        </is>
      </c>
    </row>
    <row r="50">
      <c r="A50" s="174" t="inlineStr">
        <is>
          <t>• 17画面仕様（ポートフォリオ/コミュニティ）は未含</t>
        </is>
      </c>
    </row>
    <row r="51">
      <c r="A51" s="174" t="inlineStr">
        <is>
          <t>• S3 vs S4: 同じ~90%品質だがS3はHITLで1.7MM節約</t>
        </is>
      </c>
    </row>
    <row r="52">
      <c r="A52" s="174" t="inlineStr">
        <is>
          <t>• 本見積はluongkam/dzungによる再分析（AI/BE/FE分離）</t>
        </is>
      </c>
    </row>
    <row r="53">
      <c r="A53" s="174" t="inlineStr">
        <is>
          <t>• 元見積（6.3MM）はAI+BE+FE一括、層別なし</t>
        </is>
      </c>
    </row>
  </sheetData>
  <mergeCells count="14">
    <mergeCell ref="D41:G41"/>
    <mergeCell ref="A1:G1"/>
    <mergeCell ref="A40:G40"/>
    <mergeCell ref="A51:G51"/>
    <mergeCell ref="A53:G53"/>
    <mergeCell ref="A50:G50"/>
    <mergeCell ref="A48:G48"/>
    <mergeCell ref="A2:G2"/>
    <mergeCell ref="A52:G52"/>
    <mergeCell ref="D43:G43"/>
    <mergeCell ref="D42:G42"/>
    <mergeCell ref="A49:G49"/>
    <mergeCell ref="A47:G47"/>
    <mergeCell ref="A45:G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95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2.63" defaultRowHeight="15" customHeight="1"/>
  <cols>
    <col width="3.63" customWidth="1" style="158" min="1" max="1"/>
    <col width="19.38" customWidth="1" style="158" min="2" max="2"/>
    <col width="33" customWidth="1" style="158" min="3" max="3"/>
    <col width="65" customWidth="1" style="158" min="4" max="4"/>
    <col width="38.13" customWidth="1" style="158" min="5" max="5"/>
    <col width="64.75" customWidth="1" style="158" min="6" max="6"/>
    <col width="55.38" customWidth="1" style="158" min="7" max="7"/>
    <col width="8.380000000000001" customWidth="1" style="158" min="8" max="8"/>
    <col width="10" customWidth="1" style="158" min="9" max="9"/>
    <col width="3.63" customWidth="1" style="158" min="10" max="10"/>
  </cols>
  <sheetData>
    <row r="1">
      <c r="A1" s="194" t="inlineStr">
        <is>
          <t>No.</t>
        </is>
      </c>
      <c r="B1" s="194" t="inlineStr">
        <is>
          <t>カテゴリ</t>
        </is>
      </c>
      <c r="C1" s="194" t="n"/>
      <c r="D1" s="194" t="inlineStr">
        <is>
          <t>機能</t>
        </is>
      </c>
      <c r="E1" s="194" t="inlineStr">
        <is>
          <t>備考</t>
        </is>
      </c>
      <c r="F1" s="194" t="inlineStr">
        <is>
          <t>機能 - Chức năng</t>
        </is>
      </c>
      <c r="G1" s="194" t="inlineStr">
        <is>
          <t>Note</t>
        </is>
      </c>
      <c r="H1" s="65" t="n"/>
      <c r="I1" s="65" t="n"/>
      <c r="J1" s="66" t="n"/>
      <c r="K1" s="67" t="n"/>
      <c r="L1" s="67" t="n"/>
      <c r="M1" s="66" t="n"/>
    </row>
    <row r="2">
      <c r="A2" s="195" t="n"/>
      <c r="B2" s="195" t="n"/>
      <c r="C2" s="195" t="n"/>
      <c r="D2" s="195" t="n"/>
      <c r="E2" s="195" t="n"/>
      <c r="F2" s="195" t="n"/>
      <c r="G2" s="195" t="n"/>
      <c r="H2" s="69" t="inlineStr">
        <is>
          <t>開発</t>
        </is>
      </c>
      <c r="I2" s="70" t="inlineStr">
        <is>
          <t>単体試験(UT)</t>
        </is>
      </c>
      <c r="J2" s="66" t="n"/>
      <c r="K2" s="67" t="n"/>
      <c r="L2" s="67" t="n"/>
      <c r="M2" s="66" t="n"/>
    </row>
    <row r="3" ht="9" customHeight="1" s="158">
      <c r="A3" s="195" t="n"/>
      <c r="B3" s="195" t="n"/>
      <c r="C3" s="195" t="n"/>
      <c r="D3" s="195" t="n"/>
      <c r="E3" s="195" t="n"/>
      <c r="F3" s="195" t="n"/>
      <c r="G3" s="195" t="n"/>
      <c r="H3" s="71" t="inlineStr">
        <is>
          <t>Coding</t>
        </is>
      </c>
      <c r="I3" s="71" t="inlineStr">
        <is>
          <t>Testing</t>
        </is>
      </c>
      <c r="J3" s="72" t="n"/>
      <c r="K3" s="67" t="n"/>
      <c r="L3" s="67" t="n"/>
      <c r="M3" s="66" t="n"/>
    </row>
    <row r="4" ht="9.75" customHeight="1" s="158">
      <c r="A4" s="167" t="n"/>
      <c r="B4" s="167" t="n"/>
      <c r="C4" s="167" t="n"/>
      <c r="D4" s="167" t="n"/>
      <c r="E4" s="167" t="n"/>
      <c r="F4" s="167" t="n"/>
      <c r="G4" s="167" t="n"/>
      <c r="H4" s="71">
        <f>SUM(H5:H28)</f>
        <v/>
      </c>
      <c r="I4" s="71">
        <f>SUM(I5:I28)</f>
        <v/>
      </c>
      <c r="J4" s="72" t="n"/>
      <c r="K4" s="67" t="n"/>
      <c r="L4" s="67" t="n"/>
      <c r="M4" s="66" t="n"/>
    </row>
    <row r="5">
      <c r="A5" s="75" t="n">
        <v>1</v>
      </c>
      <c r="B5" s="196" t="inlineStr">
        <is>
          <t>ユーザアプリ（Web）</t>
        </is>
      </c>
      <c r="C5" s="75" t="inlineStr">
        <is>
          <t>ダッシュボード / Dashboard</t>
        </is>
      </c>
      <c r="D5" s="75" t="inlineStr">
        <is>
          <t>ダッシュボード / Dashboard</t>
        </is>
      </c>
      <c r="E5" s="77" t="n"/>
      <c r="F5" s="77" t="n"/>
      <c r="G5" s="78" t="n"/>
      <c r="H5" s="79" t="n">
        <v>1.5</v>
      </c>
      <c r="I5" s="79" t="n">
        <v>2</v>
      </c>
      <c r="J5" s="72" t="n"/>
      <c r="K5" s="80" t="n"/>
      <c r="L5" s="80" t="n"/>
      <c r="M5" s="66" t="n"/>
    </row>
    <row r="6">
      <c r="A6" s="75" t="n">
        <v>2</v>
      </c>
      <c r="B6" s="195" t="n"/>
      <c r="C6" s="75" t="inlineStr">
        <is>
          <t>ファイル管理 / Quản lý File</t>
        </is>
      </c>
      <c r="D6" s="75" t="inlineStr">
        <is>
          <t>ファイルアップロード（単体・複数）/ Tải lên tập tin (một tập tin/nhiều tập tin)</t>
        </is>
      </c>
      <c r="E6" s="82" t="n"/>
      <c r="F6" s="77" t="n"/>
      <c r="G6" s="78" t="n"/>
      <c r="H6" s="79" t="n">
        <v>1</v>
      </c>
      <c r="I6" s="79" t="n">
        <v>0.4</v>
      </c>
      <c r="J6" s="72" t="n"/>
      <c r="K6" s="80" t="n"/>
      <c r="L6" s="80" t="n"/>
      <c r="M6" s="66" t="n"/>
    </row>
    <row r="7">
      <c r="A7" s="75" t="n">
        <v>3</v>
      </c>
      <c r="B7" s="195" t="n"/>
      <c r="C7" s="195" t="n"/>
      <c r="D7" s="75" t="inlineStr">
        <is>
          <t>AIコンテンツ抽出 / Trích xuất nội dung bằng AI</t>
        </is>
      </c>
      <c r="E7" s="77" t="inlineStr">
        <is>
          <t>- Trích xuất thông tin: Tên đối tác, ngày, số tiền,...
- Tự động gán tag màu
- Xử lý ảnh, scan text</t>
        </is>
      </c>
      <c r="F7" s="77" t="n"/>
      <c r="G7" s="78" t="n"/>
      <c r="H7" s="79" t="n">
        <v>15</v>
      </c>
      <c r="I7" s="79" t="n">
        <v>8</v>
      </c>
      <c r="J7" s="72" t="n"/>
      <c r="K7" s="80" t="n"/>
      <c r="L7" s="80" t="n"/>
      <c r="M7" s="66" t="n"/>
    </row>
    <row r="8">
      <c r="A8" s="75" t="n">
        <v>4</v>
      </c>
      <c r="B8" s="195" t="n"/>
      <c r="C8" s="195" t="n"/>
      <c r="D8" s="75" t="inlineStr">
        <is>
          <t>ファイル一覧表示・ソート / Hiển thị/Sắp xếp danh sách tệp</t>
        </is>
      </c>
      <c r="E8" s="82" t="n"/>
      <c r="F8" s="77" t="n"/>
      <c r="G8" s="78" t="n"/>
      <c r="H8" s="79" t="n">
        <v>2</v>
      </c>
      <c r="I8" s="79" t="n">
        <v>1</v>
      </c>
      <c r="J8" s="72" t="n"/>
      <c r="K8" s="80" t="n"/>
      <c r="L8" s="80" t="n"/>
      <c r="M8" s="66" t="n"/>
    </row>
    <row r="9">
      <c r="A9" s="75" t="n">
        <v>5</v>
      </c>
      <c r="B9" s="195" t="n"/>
      <c r="C9" s="195" t="n"/>
      <c r="D9" s="75" t="inlineStr">
        <is>
          <t xml:space="preserve">ファイル削除 / Xóa file </t>
        </is>
      </c>
      <c r="E9" s="82" t="n"/>
      <c r="F9" s="77" t="n"/>
      <c r="G9" s="78" t="n"/>
      <c r="H9" s="79" t="n">
        <v>0.25</v>
      </c>
      <c r="I9" s="79" t="n">
        <v>0.1</v>
      </c>
      <c r="J9" s="72" t="n"/>
      <c r="K9" s="80" t="n"/>
      <c r="L9" s="80" t="n"/>
      <c r="M9" s="66" t="n"/>
    </row>
    <row r="10">
      <c r="A10" s="75" t="n">
        <v>6</v>
      </c>
      <c r="B10" s="195" t="n"/>
      <c r="C10" s="167" t="n"/>
      <c r="D10" s="75" t="inlineStr">
        <is>
          <t>ファイルダウンロード / Download</t>
        </is>
      </c>
      <c r="E10" s="77" t="inlineStr">
        <is>
          <t xml:space="preserve">- Download đơn lẻ
- Chọn nhiều file + download hàng loạt </t>
        </is>
      </c>
      <c r="F10" s="77" t="n"/>
      <c r="G10" s="78" t="n"/>
      <c r="H10" s="79" t="n">
        <v>1</v>
      </c>
      <c r="I10" s="79" t="n">
        <v>0.5</v>
      </c>
      <c r="J10" s="72" t="n"/>
      <c r="K10" s="80" t="n"/>
      <c r="L10" s="80" t="n"/>
      <c r="M10" s="66" t="n"/>
    </row>
    <row r="11">
      <c r="A11" s="75" t="n">
        <v>7</v>
      </c>
      <c r="B11" s="195" t="n"/>
      <c r="C11" s="75" t="inlineStr">
        <is>
          <t>AI文書生成 / Tạo tài liệu bằng AI</t>
        </is>
      </c>
      <c r="D11" s="75" t="inlineStr">
        <is>
          <t>提案書をつくる / Tạo đề xuất</t>
        </is>
      </c>
      <c r="E11" s="77" t="inlineStr">
        <is>
          <t>Tích hợp AI, View detail, download file</t>
        </is>
      </c>
      <c r="F11" s="77" t="n"/>
      <c r="G11" s="78" t="n"/>
      <c r="H11" s="79" t="n">
        <v>10</v>
      </c>
      <c r="I11" s="79" t="n">
        <v>3</v>
      </c>
      <c r="J11" s="72" t="n"/>
      <c r="K11" s="80" t="n"/>
      <c r="L11" s="80" t="n"/>
      <c r="M11" s="66" t="n"/>
    </row>
    <row r="12">
      <c r="A12" s="75" t="n">
        <v>8</v>
      </c>
      <c r="B12" s="195" t="n"/>
      <c r="C12" s="195" t="n"/>
      <c r="D12" s="75" t="inlineStr">
        <is>
          <t>見積書をつくる / Tạo báo giá</t>
        </is>
      </c>
      <c r="E12" s="77" t="inlineStr">
        <is>
          <t>Tích hợp AI,View detail, download file</t>
        </is>
      </c>
      <c r="F12" s="77" t="n"/>
      <c r="G12" s="78" t="n"/>
      <c r="H12" s="79" t="n">
        <v>5</v>
      </c>
      <c r="I12" s="79" t="n">
        <v>3</v>
      </c>
      <c r="J12" s="72" t="n"/>
      <c r="K12" s="80" t="n"/>
      <c r="L12" s="80" t="n"/>
      <c r="M12" s="66" t="n"/>
    </row>
    <row r="13">
      <c r="A13" s="75" t="n">
        <v>9</v>
      </c>
      <c r="B13" s="195" t="n"/>
      <c r="C13" s="195" t="n"/>
      <c r="D13" s="75" t="inlineStr">
        <is>
          <t>請求書をつくる / Tạo hóa đơn</t>
        </is>
      </c>
      <c r="E13" s="77" t="inlineStr">
        <is>
          <t>Tích hợp AI,View detail, download file</t>
        </is>
      </c>
      <c r="F13" s="77" t="n"/>
      <c r="G13" s="84" t="n"/>
      <c r="H13" s="79" t="n">
        <v>5</v>
      </c>
      <c r="I13" s="79" t="n">
        <v>3</v>
      </c>
      <c r="J13" s="72" t="n"/>
      <c r="K13" s="80" t="n"/>
      <c r="L13" s="80" t="n"/>
      <c r="M13" s="66" t="n"/>
    </row>
    <row r="14">
      <c r="A14" s="75" t="n">
        <v>10</v>
      </c>
      <c r="B14" s="195" t="n"/>
      <c r="C14" s="167" t="n"/>
      <c r="D14" s="75" t="inlineStr">
        <is>
          <t>競合の動きを知る/ Tạo báo cáo phân tích cạnh tranh</t>
        </is>
      </c>
      <c r="E14" s="77" t="inlineStr">
        <is>
          <t>Tích hợp AI,View detail, download file</t>
        </is>
      </c>
      <c r="F14" s="77" t="n"/>
      <c r="G14" s="78" t="n"/>
      <c r="H14" s="79" t="n">
        <v>5</v>
      </c>
      <c r="I14" s="79" t="n">
        <v>3</v>
      </c>
      <c r="J14" s="72" t="n"/>
      <c r="K14" s="80" t="n"/>
      <c r="L14" s="80" t="n"/>
      <c r="M14" s="66" t="n"/>
    </row>
    <row r="15">
      <c r="A15" s="75" t="n">
        <v>11</v>
      </c>
      <c r="B15" s="195" t="n"/>
      <c r="C15" s="75" t="inlineStr">
        <is>
          <t>設定 / Cài đặt</t>
        </is>
      </c>
      <c r="D15" s="75" t="inlineStr">
        <is>
          <t>AIテンプレート設定 / Cài đặt mẫu AI</t>
        </is>
      </c>
      <c r="E15" s="77" t="n"/>
      <c r="F15" s="77" t="n"/>
      <c r="G15" s="78" t="n"/>
      <c r="H15" s="79" t="n">
        <v>10</v>
      </c>
      <c r="I15" s="79" t="n">
        <v>6</v>
      </c>
      <c r="J15" s="72" t="n"/>
      <c r="K15" s="80" t="n"/>
      <c r="L15" s="80" t="n"/>
      <c r="M15" s="66" t="n"/>
    </row>
    <row r="16">
      <c r="A16" s="75" t="n">
        <v>12</v>
      </c>
      <c r="B16" s="195" t="n"/>
      <c r="C16" s="195" t="n"/>
      <c r="D16" s="75" t="inlineStr">
        <is>
          <t>マーケットプレイス</t>
        </is>
      </c>
      <c r="E16" s="77" t="inlineStr">
        <is>
          <t>- List template
- Mua template</t>
        </is>
      </c>
      <c r="F16" s="77" t="n"/>
      <c r="G16" s="78" t="n"/>
      <c r="H16" s="79" t="n">
        <v>5</v>
      </c>
      <c r="I16" s="79" t="n">
        <v>3</v>
      </c>
      <c r="J16" s="72" t="n"/>
      <c r="K16" s="80" t="n"/>
      <c r="L16" s="80" t="n"/>
      <c r="M16" s="66" t="n"/>
    </row>
    <row r="17">
      <c r="A17" s="75" t="n">
        <v>13</v>
      </c>
      <c r="B17" s="195" t="n"/>
      <c r="C17" s="195" t="n"/>
      <c r="D17" s="75" t="inlineStr">
        <is>
          <t>あなたの情報 / Thông tin của bạn</t>
        </is>
      </c>
      <c r="E17" s="82" t="n"/>
      <c r="F17" s="77" t="n"/>
      <c r="G17" s="78" t="n"/>
      <c r="H17" s="79" t="n">
        <v>1.5</v>
      </c>
      <c r="I17" s="79" t="n">
        <v>0.5</v>
      </c>
      <c r="J17" s="72" t="n"/>
      <c r="K17" s="80" t="n"/>
      <c r="L17" s="80" t="n"/>
      <c r="M17" s="66" t="n"/>
    </row>
    <row r="18">
      <c r="A18" s="75" t="n">
        <v>14</v>
      </c>
      <c r="B18" s="195" t="n"/>
      <c r="C18" s="195" t="n"/>
      <c r="D18" s="75" t="inlineStr">
        <is>
          <t>料金プラン/ Gói plan</t>
        </is>
      </c>
      <c r="E18" s="77" t="inlineStr">
        <is>
          <t>Xử lý thay đổi plan</t>
        </is>
      </c>
      <c r="F18" s="77" t="n"/>
      <c r="G18" s="78" t="n"/>
      <c r="H18" s="79" t="n">
        <v>4</v>
      </c>
      <c r="I18" s="79" t="n">
        <v>1.5</v>
      </c>
      <c r="J18" s="72" t="n"/>
      <c r="K18" s="80" t="n"/>
      <c r="L18" s="80" t="n"/>
      <c r="M18" s="66" t="n"/>
    </row>
    <row r="19">
      <c r="A19" s="75" t="n">
        <v>15</v>
      </c>
      <c r="B19" s="195" t="n"/>
      <c r="C19" s="195" t="n"/>
      <c r="D19" s="75" t="inlineStr">
        <is>
          <t>通知設定 / Cài đặt thông báo</t>
        </is>
      </c>
      <c r="E19" s="82" t="n"/>
      <c r="F19" s="77" t="n"/>
      <c r="G19" s="84" t="n"/>
      <c r="H19" s="79" t="n">
        <v>1</v>
      </c>
      <c r="I19" s="79" t="n">
        <v>0.25</v>
      </c>
      <c r="J19" s="72" t="n"/>
      <c r="K19" s="80" t="n"/>
      <c r="L19" s="80" t="n"/>
      <c r="M19" s="66" t="n"/>
    </row>
    <row r="20">
      <c r="A20" s="75" t="n">
        <v>16</v>
      </c>
      <c r="B20" s="195" t="n"/>
      <c r="C20" s="167" t="n"/>
      <c r="D20" s="75" t="inlineStr">
        <is>
          <t>パスワード変更 / Thay đổi mật khẩu</t>
        </is>
      </c>
      <c r="E20" s="82" t="n"/>
      <c r="F20" s="77" t="n"/>
      <c r="G20" s="84" t="n"/>
      <c r="H20" s="79" t="n">
        <v>0.25</v>
      </c>
      <c r="I20" s="79" t="n">
        <v>0.1</v>
      </c>
      <c r="J20" s="72" t="n"/>
      <c r="K20" s="80" t="n"/>
      <c r="L20" s="80" t="n"/>
      <c r="M20" s="66" t="n"/>
    </row>
    <row r="21">
      <c r="A21" s="75" t="n">
        <v>17</v>
      </c>
      <c r="B21" s="167" t="n"/>
      <c r="C21" s="75" t="inlineStr">
        <is>
          <t>お問合せ / Cuộc điều tra</t>
        </is>
      </c>
      <c r="D21" s="75" t="inlineStr">
        <is>
          <t>お問合せ / Cuộc điều tra</t>
        </is>
      </c>
      <c r="E21" s="77" t="inlineStr">
        <is>
          <t>Send mail</t>
        </is>
      </c>
      <c r="F21" s="77" t="n"/>
      <c r="G21" s="78" t="n"/>
      <c r="H21" s="79" t="n">
        <v>0.25</v>
      </c>
      <c r="I21" s="79" t="n">
        <v>0.1</v>
      </c>
      <c r="J21" s="72" t="n"/>
      <c r="K21" s="80" t="n"/>
      <c r="L21" s="80" t="n"/>
      <c r="M21" s="66" t="n"/>
    </row>
    <row r="22" ht="15.75" customHeight="1" s="158">
      <c r="A22" s="75" t="n">
        <v>18</v>
      </c>
      <c r="B22" s="197" t="inlineStr">
        <is>
          <t>管理アプリ（Web）</t>
        </is>
      </c>
      <c r="C22" s="75" t="inlineStr">
        <is>
          <t>認証 / アカウント</t>
        </is>
      </c>
      <c r="D22" s="75" t="inlineStr">
        <is>
          <t>ログイン/ログアウト</t>
        </is>
      </c>
      <c r="E22" s="82" t="n"/>
      <c r="F22" s="77" t="n"/>
      <c r="G22" s="78" t="n"/>
      <c r="H22" s="79" t="n">
        <v>0.5</v>
      </c>
      <c r="I22" s="79" t="n">
        <v>0.25</v>
      </c>
      <c r="J22" s="72" t="n"/>
      <c r="K22" s="80" t="n"/>
      <c r="L22" s="80" t="n"/>
      <c r="M22" s="66" t="n"/>
    </row>
    <row r="23" ht="15.75" customHeight="1" s="158">
      <c r="A23" s="75" t="n">
        <v>19</v>
      </c>
      <c r="B23" s="195" t="n"/>
      <c r="C23" s="75" t="inlineStr">
        <is>
          <t>テナント管理 / Quản lý Tenant</t>
        </is>
      </c>
      <c r="D23" s="75" t="inlineStr">
        <is>
          <t>テナント一覧・検索 / Danh sách &amp; tìm kiếm tenant</t>
        </is>
      </c>
      <c r="E23" s="82" t="n"/>
      <c r="F23" s="77" t="n"/>
      <c r="G23" s="78" t="n"/>
      <c r="H23" s="79" t="n">
        <v>0.5</v>
      </c>
      <c r="I23" s="79" t="n">
        <v>0.2</v>
      </c>
      <c r="J23" s="72" t="n"/>
      <c r="K23" s="80" t="n"/>
      <c r="L23" s="80" t="n"/>
      <c r="M23" s="66" t="n"/>
    </row>
    <row r="24" ht="15.75" customHeight="1" s="158">
      <c r="A24" s="75" t="n">
        <v>20</v>
      </c>
      <c r="B24" s="195" t="n"/>
      <c r="C24" s="195" t="n"/>
      <c r="D24" s="75" t="inlineStr">
        <is>
          <t>テナント新規作成 / Tạo tenant mới thủ công</t>
        </is>
      </c>
      <c r="E24" s="77" t="inlineStr">
        <is>
          <t>Tự động tạo tài khoản cho tenant luôn</t>
        </is>
      </c>
      <c r="F24" s="77" t="n"/>
      <c r="G24" s="78" t="n"/>
      <c r="H24" s="79" t="n">
        <v>1.5</v>
      </c>
      <c r="I24" s="79" t="n">
        <v>0.8</v>
      </c>
      <c r="J24" s="72" t="n"/>
      <c r="K24" s="80" t="n"/>
      <c r="L24" s="80" t="n"/>
      <c r="M24" s="66" t="n"/>
    </row>
    <row r="25" ht="15.75" customHeight="1" s="158">
      <c r="A25" s="75" t="n">
        <v>21</v>
      </c>
      <c r="B25" s="195" t="n"/>
      <c r="C25" s="195" t="n"/>
      <c r="D25" s="75" t="inlineStr">
        <is>
          <t>テナント編集 / Chỉnh sửa thông tin tenant</t>
        </is>
      </c>
      <c r="E25" s="82" t="n"/>
      <c r="F25" s="77" t="n"/>
      <c r="G25" s="78" t="n"/>
      <c r="H25" s="79" t="n">
        <v>0.75</v>
      </c>
      <c r="I25" s="79" t="n">
        <v>0.4</v>
      </c>
      <c r="J25" s="72" t="n"/>
      <c r="K25" s="80" t="n"/>
      <c r="L25" s="80" t="n"/>
      <c r="M25" s="66" t="n"/>
    </row>
    <row r="26" ht="15.75" customHeight="1" s="158">
      <c r="A26" s="75" t="n">
        <v>22</v>
      </c>
      <c r="B26" s="195" t="n"/>
      <c r="C26" s="167" t="n"/>
      <c r="D26" s="75" t="inlineStr">
        <is>
          <t>テナント停止・削除 / Khóa &amp; xóa tenant</t>
        </is>
      </c>
      <c r="E26" s="82" t="n"/>
      <c r="F26" s="77" t="n"/>
      <c r="G26" s="78" t="n"/>
      <c r="H26" s="79" t="n">
        <v>0.5</v>
      </c>
      <c r="I26" s="79" t="n">
        <v>0.2</v>
      </c>
      <c r="J26" s="72" t="n"/>
      <c r="K26" s="80" t="n"/>
      <c r="L26" s="80" t="n"/>
      <c r="M26" s="66" t="n"/>
    </row>
    <row r="27" ht="15.75" customHeight="1" s="158">
      <c r="A27" s="75" t="n">
        <v>23</v>
      </c>
      <c r="B27" s="195" t="n"/>
      <c r="C27" s="75" t="inlineStr">
        <is>
          <t>プラン管理 / Quản lý Plan</t>
        </is>
      </c>
      <c r="D27" s="75" t="inlineStr">
        <is>
          <t>プラン一覧 / Danh sách gói dịch vụ</t>
        </is>
      </c>
      <c r="E27" s="82" t="n"/>
      <c r="F27" s="77" t="n"/>
      <c r="G27" s="78" t="n"/>
      <c r="H27" s="79" t="n">
        <v>0.25</v>
      </c>
      <c r="I27" s="79" t="n">
        <v>0.1</v>
      </c>
      <c r="J27" s="72" t="n"/>
      <c r="K27" s="80" t="n"/>
      <c r="L27" s="80" t="n"/>
      <c r="M27" s="72" t="n"/>
    </row>
    <row r="28" ht="15.75" customHeight="1" s="158">
      <c r="A28" s="75" t="n">
        <v>24</v>
      </c>
      <c r="B28" s="167" t="n"/>
      <c r="C28" s="75" t="n"/>
      <c r="D28" s="75" t="inlineStr">
        <is>
          <t xml:space="preserve">プラン編集 / Chỉnh sửa cấu hình gói </t>
        </is>
      </c>
      <c r="E28" s="82" t="n"/>
      <c r="F28" s="77" t="n"/>
      <c r="G28" s="78" t="n"/>
      <c r="H28" s="79" t="n">
        <v>0.5</v>
      </c>
      <c r="I28" s="79" t="n">
        <v>0.2</v>
      </c>
      <c r="J28" s="86" t="n"/>
      <c r="K28" s="80" t="n"/>
      <c r="L28" s="80" t="n"/>
      <c r="M28" s="87" t="n"/>
    </row>
    <row r="29" ht="11.25" customHeight="1" s="158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7" t="n"/>
      <c r="L29" s="67" t="n"/>
      <c r="M29" s="66" t="n"/>
    </row>
    <row r="30" ht="11.25" customHeight="1" s="158">
      <c r="A30" s="66" t="n"/>
      <c r="B30" s="66" t="n"/>
      <c r="C30" s="66" t="n"/>
      <c r="D30" s="66" t="n"/>
      <c r="E30" s="66" t="n"/>
      <c r="F30" s="66" t="n"/>
      <c r="G30" s="66" t="n"/>
      <c r="H30" s="88" t="inlineStr">
        <is>
          <t>開発</t>
        </is>
      </c>
      <c r="I30" s="89" t="inlineStr">
        <is>
          <t>単体試験(UT)</t>
        </is>
      </c>
      <c r="J30" s="90" t="n"/>
      <c r="K30" s="67" t="n"/>
      <c r="L30" s="67" t="n"/>
      <c r="M30" s="66" t="n"/>
    </row>
    <row r="31" ht="10.5" customHeight="1" s="158">
      <c r="A31" s="66" t="n"/>
      <c r="B31" s="66" t="n"/>
      <c r="C31" s="66" t="n"/>
      <c r="D31" s="66" t="n"/>
      <c r="E31" s="66" t="n"/>
      <c r="F31" s="66" t="n"/>
      <c r="G31" s="66" t="n"/>
      <c r="H31" s="91" t="inlineStr">
        <is>
          <t>Code</t>
        </is>
      </c>
      <c r="I31" s="91" t="inlineStr">
        <is>
          <t>Testing</t>
        </is>
      </c>
      <c r="J31" s="90" t="n"/>
      <c r="K31" s="67" t="n"/>
      <c r="L31" s="67" t="n"/>
      <c r="M31" s="66" t="n"/>
    </row>
    <row r="32" ht="15.75" customHeight="1" s="158">
      <c r="A32" s="92" t="n"/>
      <c r="B32" s="66" t="n"/>
      <c r="C32" s="66" t="n"/>
      <c r="D32" s="66" t="n"/>
      <c r="E32" s="66" t="n"/>
      <c r="F32" s="66" t="n"/>
      <c r="G32" s="66" t="n"/>
      <c r="H32" s="93">
        <f>H4</f>
        <v/>
      </c>
      <c r="I32" s="93">
        <f>I4</f>
        <v/>
      </c>
      <c r="J32" s="66" t="n"/>
      <c r="K32" s="94" t="n"/>
      <c r="L32" s="67" t="n"/>
      <c r="M32" s="66" t="n"/>
    </row>
    <row r="33" ht="15.75" customHeight="1" s="158">
      <c r="A33" s="92" t="n"/>
      <c r="B33" s="66" t="n"/>
      <c r="C33" s="66" t="n"/>
      <c r="D33" s="66" t="n"/>
      <c r="E33" s="66" t="n"/>
      <c r="F33" s="66" t="n"/>
      <c r="G33" s="66" t="n"/>
      <c r="H33" s="95">
        <f>H32/20</f>
        <v/>
      </c>
      <c r="I33" s="95">
        <f>I32/20</f>
        <v/>
      </c>
      <c r="J33" s="66" t="n"/>
      <c r="K33" s="67" t="n"/>
      <c r="L33" s="67" t="n"/>
      <c r="M33" s="66" t="n"/>
    </row>
    <row r="34" ht="15.75" customHeight="1" s="158">
      <c r="A34" s="92" t="n"/>
      <c r="B34" s="66" t="n"/>
      <c r="C34" s="66" t="n"/>
      <c r="D34" s="66" t="n"/>
      <c r="E34" s="66" t="n"/>
      <c r="F34" s="66" t="n"/>
      <c r="G34" s="96" t="n"/>
      <c r="H34" s="96" t="n"/>
      <c r="I34" s="97" t="n"/>
      <c r="J34" s="66" t="n"/>
      <c r="K34" s="67" t="n"/>
      <c r="L34" s="67" t="n"/>
      <c r="M34" s="66" t="n"/>
    </row>
    <row r="35" ht="15.75" customHeight="1" s="158">
      <c r="A35" s="92" t="n"/>
      <c r="B35" s="66" t="n"/>
      <c r="C35" s="66" t="n"/>
      <c r="D35" s="66" t="n"/>
      <c r="E35" s="66" t="n"/>
      <c r="F35" s="66" t="n"/>
      <c r="G35" s="66" t="n"/>
      <c r="H35" s="87" t="n"/>
      <c r="J35" s="66" t="n"/>
      <c r="K35" s="67" t="n"/>
      <c r="L35" s="67" t="n"/>
      <c r="M35" s="66" t="n"/>
    </row>
    <row r="36" ht="15.75" customHeight="1" s="158">
      <c r="A36" s="92" t="n"/>
      <c r="B36" s="66" t="n"/>
      <c r="C36" s="66" t="n"/>
      <c r="D36" s="66" t="n"/>
      <c r="E36" s="66" t="n"/>
      <c r="F36" s="66" t="n"/>
      <c r="G36" s="66" t="n"/>
      <c r="H36" s="87" t="n"/>
      <c r="J36" s="66" t="n"/>
      <c r="K36" s="67" t="n"/>
      <c r="L36" s="67" t="n"/>
      <c r="M36" s="66" t="n"/>
    </row>
    <row r="37" ht="15.75" customHeight="1" s="158">
      <c r="A37" s="98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9" t="n"/>
      <c r="L37" s="99" t="n"/>
      <c r="M37" s="96" t="n"/>
    </row>
    <row r="38" ht="15.75" customHeight="1" s="158">
      <c r="A38" s="98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9" t="n"/>
      <c r="L38" s="99" t="n"/>
      <c r="M38" s="96" t="n"/>
    </row>
    <row r="39" ht="15.75" customHeight="1" s="158">
      <c r="A39" s="98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9" t="n"/>
      <c r="L39" s="99" t="n"/>
      <c r="M39" s="96" t="n"/>
    </row>
    <row r="40" ht="15.75" customHeight="1" s="158">
      <c r="A40" s="98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9" t="n"/>
      <c r="L40" s="99" t="n"/>
      <c r="M40" s="96" t="n"/>
    </row>
    <row r="41" ht="15.75" customHeight="1" s="158">
      <c r="A41" s="98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9" t="n"/>
      <c r="L41" s="99" t="n"/>
      <c r="M41" s="96" t="n"/>
    </row>
    <row r="42" ht="15.75" customHeight="1" s="158">
      <c r="A42" s="98" t="n"/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9" t="n"/>
      <c r="L42" s="99" t="n"/>
      <c r="M42" s="96" t="n"/>
    </row>
    <row r="43" ht="15.75" customHeight="1" s="158">
      <c r="K43" s="100" t="n"/>
      <c r="L43" s="100" t="n"/>
    </row>
    <row r="44" ht="15.75" customHeight="1" s="158">
      <c r="K44" s="100" t="n"/>
      <c r="L44" s="100" t="n"/>
    </row>
    <row r="45" ht="15.75" customHeight="1" s="158">
      <c r="K45" s="100" t="n"/>
      <c r="L45" s="100" t="n"/>
    </row>
    <row r="46" ht="15.75" customHeight="1" s="158">
      <c r="K46" s="100" t="n"/>
      <c r="L46" s="100" t="n"/>
    </row>
    <row r="47" ht="15.75" customHeight="1" s="158">
      <c r="K47" s="100" t="n"/>
      <c r="L47" s="100" t="n"/>
    </row>
    <row r="48" ht="15.75" customHeight="1" s="158">
      <c r="K48" s="100" t="n"/>
      <c r="L48" s="100" t="n"/>
    </row>
    <row r="49" ht="15.75" customHeight="1" s="158">
      <c r="K49" s="100" t="n"/>
      <c r="L49" s="100" t="n"/>
    </row>
    <row r="50" ht="15.75" customHeight="1" s="158">
      <c r="K50" s="100" t="n"/>
      <c r="L50" s="100" t="n"/>
    </row>
    <row r="51" ht="15.75" customHeight="1" s="158">
      <c r="K51" s="100" t="n"/>
      <c r="L51" s="100" t="n"/>
    </row>
    <row r="52" ht="15.75" customHeight="1" s="158">
      <c r="K52" s="100" t="n"/>
      <c r="L52" s="100" t="n"/>
    </row>
    <row r="53" ht="15.75" customHeight="1" s="158">
      <c r="K53" s="100" t="n"/>
      <c r="L53" s="100" t="n"/>
    </row>
    <row r="54" ht="15.75" customHeight="1" s="158">
      <c r="K54" s="100" t="n"/>
      <c r="L54" s="100" t="n"/>
    </row>
    <row r="55" ht="15.75" customHeight="1" s="158">
      <c r="K55" s="100" t="n"/>
      <c r="L55" s="100" t="n"/>
    </row>
    <row r="56" ht="15.75" customHeight="1" s="158">
      <c r="K56" s="100" t="n"/>
      <c r="L56" s="100" t="n"/>
    </row>
    <row r="57" ht="15.75" customHeight="1" s="158">
      <c r="K57" s="100" t="n"/>
      <c r="L57" s="100" t="n"/>
    </row>
    <row r="58" ht="15.75" customHeight="1" s="158">
      <c r="K58" s="100" t="n"/>
      <c r="L58" s="100" t="n"/>
    </row>
    <row r="59" ht="15.75" customHeight="1" s="158">
      <c r="K59" s="100" t="n"/>
      <c r="L59" s="100" t="n"/>
    </row>
    <row r="60" ht="15.75" customHeight="1" s="158">
      <c r="K60" s="100" t="n"/>
      <c r="L60" s="100" t="n"/>
    </row>
    <row r="61" ht="15.75" customHeight="1" s="158">
      <c r="K61" s="100" t="n"/>
      <c r="L61" s="100" t="n"/>
    </row>
    <row r="62" ht="15.75" customHeight="1" s="158">
      <c r="K62" s="100" t="n"/>
      <c r="L62" s="100" t="n"/>
    </row>
    <row r="63" ht="15.75" customHeight="1" s="158">
      <c r="K63" s="100" t="n"/>
      <c r="L63" s="100" t="n"/>
    </row>
    <row r="64" ht="15.75" customHeight="1" s="158">
      <c r="K64" s="100" t="n"/>
      <c r="L64" s="100" t="n"/>
    </row>
    <row r="65" ht="15.75" customHeight="1" s="158">
      <c r="K65" s="100" t="n"/>
      <c r="L65" s="100" t="n"/>
    </row>
    <row r="66" ht="15.75" customHeight="1" s="158">
      <c r="K66" s="100" t="n"/>
      <c r="L66" s="100" t="n"/>
    </row>
    <row r="67" ht="15.75" customHeight="1" s="158">
      <c r="K67" s="100" t="n"/>
      <c r="L67" s="100" t="n"/>
    </row>
    <row r="68" ht="15.75" customHeight="1" s="158">
      <c r="K68" s="100" t="n"/>
      <c r="L68" s="100" t="n"/>
    </row>
    <row r="69" ht="15.75" customHeight="1" s="158">
      <c r="K69" s="100" t="n"/>
      <c r="L69" s="100" t="n"/>
    </row>
    <row r="70" ht="15.75" customHeight="1" s="158">
      <c r="K70" s="100" t="n"/>
      <c r="L70" s="100" t="n"/>
    </row>
    <row r="71" ht="15.75" customHeight="1" s="158">
      <c r="K71" s="100" t="n"/>
      <c r="L71" s="100" t="n"/>
    </row>
    <row r="72" ht="15.75" customHeight="1" s="158">
      <c r="K72" s="100" t="n"/>
      <c r="L72" s="100" t="n"/>
    </row>
    <row r="73" ht="15.75" customHeight="1" s="158">
      <c r="K73" s="100" t="n"/>
      <c r="L73" s="100" t="n"/>
    </row>
    <row r="74" ht="15.75" customHeight="1" s="158">
      <c r="K74" s="100" t="n"/>
      <c r="L74" s="100" t="n"/>
    </row>
    <row r="75" ht="15.75" customHeight="1" s="158">
      <c r="K75" s="100" t="n"/>
      <c r="L75" s="100" t="n"/>
    </row>
    <row r="76" ht="15.75" customHeight="1" s="158">
      <c r="K76" s="100" t="n"/>
      <c r="L76" s="100" t="n"/>
    </row>
    <row r="77" ht="15.75" customHeight="1" s="158">
      <c r="K77" s="100" t="n"/>
      <c r="L77" s="100" t="n"/>
    </row>
    <row r="78" ht="15.75" customHeight="1" s="158">
      <c r="K78" s="100" t="n"/>
      <c r="L78" s="100" t="n"/>
    </row>
    <row r="79" ht="15.75" customHeight="1" s="158">
      <c r="K79" s="100" t="n"/>
      <c r="L79" s="100" t="n"/>
    </row>
    <row r="80" ht="15.75" customHeight="1" s="158">
      <c r="K80" s="100" t="n"/>
      <c r="L80" s="100" t="n"/>
    </row>
    <row r="81" ht="15.75" customHeight="1" s="158">
      <c r="K81" s="100" t="n"/>
      <c r="L81" s="100" t="n"/>
    </row>
    <row r="82" ht="15.75" customHeight="1" s="158">
      <c r="K82" s="100" t="n"/>
      <c r="L82" s="100" t="n"/>
    </row>
    <row r="83" ht="15.75" customHeight="1" s="158">
      <c r="K83" s="100" t="n"/>
      <c r="L83" s="100" t="n"/>
    </row>
    <row r="84" ht="15.75" customHeight="1" s="158">
      <c r="K84" s="100" t="n"/>
      <c r="L84" s="100" t="n"/>
    </row>
    <row r="85" ht="15.75" customHeight="1" s="158">
      <c r="K85" s="100" t="n"/>
      <c r="L85" s="100" t="n"/>
    </row>
    <row r="86" ht="15.75" customHeight="1" s="158">
      <c r="K86" s="100" t="n"/>
      <c r="L86" s="100" t="n"/>
    </row>
    <row r="87" ht="15.75" customHeight="1" s="158">
      <c r="K87" s="100" t="n"/>
      <c r="L87" s="100" t="n"/>
    </row>
    <row r="88" ht="15.75" customHeight="1" s="158">
      <c r="K88" s="100" t="n"/>
      <c r="L88" s="100" t="n"/>
    </row>
    <row r="89" ht="15.75" customHeight="1" s="158">
      <c r="K89" s="100" t="n"/>
      <c r="L89" s="100" t="n"/>
    </row>
    <row r="90" ht="15.75" customHeight="1" s="158">
      <c r="K90" s="100" t="n"/>
      <c r="L90" s="100" t="n"/>
    </row>
    <row r="91" ht="15.75" customHeight="1" s="158">
      <c r="K91" s="100" t="n"/>
      <c r="L91" s="100" t="n"/>
    </row>
    <row r="92" ht="15.75" customHeight="1" s="158">
      <c r="K92" s="100" t="n"/>
      <c r="L92" s="100" t="n"/>
    </row>
    <row r="93" ht="15.75" customHeight="1" s="158">
      <c r="K93" s="100" t="n"/>
      <c r="L93" s="100" t="n"/>
    </row>
    <row r="94" ht="15.75" customHeight="1" s="158">
      <c r="K94" s="100" t="n"/>
      <c r="L94" s="100" t="n"/>
    </row>
    <row r="95" ht="15.75" customHeight="1" s="158">
      <c r="K95" s="100" t="n"/>
      <c r="L95" s="100" t="n"/>
    </row>
    <row r="96" ht="15.75" customHeight="1" s="158">
      <c r="K96" s="100" t="n"/>
      <c r="L96" s="100" t="n"/>
    </row>
    <row r="97" ht="15.75" customHeight="1" s="158">
      <c r="K97" s="100" t="n"/>
      <c r="L97" s="100" t="n"/>
    </row>
    <row r="98" ht="15.75" customHeight="1" s="158">
      <c r="K98" s="100" t="n"/>
      <c r="L98" s="100" t="n"/>
    </row>
    <row r="99" ht="15.75" customHeight="1" s="158">
      <c r="K99" s="100" t="n"/>
      <c r="L99" s="100" t="n"/>
    </row>
    <row r="100" ht="15.75" customHeight="1" s="158">
      <c r="K100" s="100" t="n"/>
      <c r="L100" s="100" t="n"/>
    </row>
    <row r="101" ht="15.75" customHeight="1" s="158">
      <c r="K101" s="100" t="n"/>
      <c r="L101" s="100" t="n"/>
    </row>
    <row r="102" ht="15.75" customHeight="1" s="158">
      <c r="K102" s="100" t="n"/>
      <c r="L102" s="100" t="n"/>
    </row>
    <row r="103" ht="15.75" customHeight="1" s="158">
      <c r="K103" s="100" t="n"/>
      <c r="L103" s="100" t="n"/>
    </row>
    <row r="104" ht="15.75" customHeight="1" s="158">
      <c r="K104" s="100" t="n"/>
      <c r="L104" s="100" t="n"/>
    </row>
    <row r="105" ht="15.75" customHeight="1" s="158">
      <c r="K105" s="100" t="n"/>
      <c r="L105" s="100" t="n"/>
    </row>
    <row r="106" ht="15.75" customHeight="1" s="158">
      <c r="K106" s="100" t="n"/>
      <c r="L106" s="100" t="n"/>
    </row>
    <row r="107" ht="15.75" customHeight="1" s="158">
      <c r="K107" s="100" t="n"/>
      <c r="L107" s="100" t="n"/>
    </row>
    <row r="108" ht="15.75" customHeight="1" s="158">
      <c r="K108" s="100" t="n"/>
      <c r="L108" s="100" t="n"/>
    </row>
    <row r="109" ht="15.75" customHeight="1" s="158">
      <c r="K109" s="100" t="n"/>
      <c r="L109" s="100" t="n"/>
    </row>
    <row r="110" ht="15.75" customHeight="1" s="158">
      <c r="K110" s="100" t="n"/>
      <c r="L110" s="100" t="n"/>
    </row>
    <row r="111" ht="15.75" customHeight="1" s="158">
      <c r="K111" s="100" t="n"/>
      <c r="L111" s="100" t="n"/>
    </row>
    <row r="112" ht="15.75" customHeight="1" s="158">
      <c r="K112" s="100" t="n"/>
      <c r="L112" s="100" t="n"/>
    </row>
    <row r="113" ht="15.75" customHeight="1" s="158">
      <c r="K113" s="100" t="n"/>
      <c r="L113" s="100" t="n"/>
    </row>
    <row r="114" ht="15.75" customHeight="1" s="158">
      <c r="K114" s="100" t="n"/>
      <c r="L114" s="100" t="n"/>
    </row>
    <row r="115" ht="15.75" customHeight="1" s="158">
      <c r="K115" s="100" t="n"/>
      <c r="L115" s="100" t="n"/>
    </row>
    <row r="116" ht="15.75" customHeight="1" s="158">
      <c r="K116" s="100" t="n"/>
      <c r="L116" s="100" t="n"/>
    </row>
    <row r="117" ht="15.75" customHeight="1" s="158">
      <c r="K117" s="100" t="n"/>
      <c r="L117" s="100" t="n"/>
    </row>
    <row r="118" ht="15.75" customHeight="1" s="158">
      <c r="K118" s="100" t="n"/>
      <c r="L118" s="100" t="n"/>
    </row>
    <row r="119" ht="15.75" customHeight="1" s="158">
      <c r="K119" s="100" t="n"/>
      <c r="L119" s="100" t="n"/>
    </row>
    <row r="120" ht="15.75" customHeight="1" s="158">
      <c r="K120" s="100" t="n"/>
      <c r="L120" s="100" t="n"/>
    </row>
    <row r="121" ht="15.75" customHeight="1" s="158">
      <c r="K121" s="100" t="n"/>
      <c r="L121" s="100" t="n"/>
    </row>
    <row r="122" ht="15.75" customHeight="1" s="158">
      <c r="K122" s="100" t="n"/>
      <c r="L122" s="100" t="n"/>
    </row>
    <row r="123" ht="15.75" customHeight="1" s="158">
      <c r="K123" s="100" t="n"/>
      <c r="L123" s="100" t="n"/>
    </row>
    <row r="124" ht="15.75" customHeight="1" s="158">
      <c r="K124" s="100" t="n"/>
      <c r="L124" s="100" t="n"/>
    </row>
    <row r="125" ht="15.75" customHeight="1" s="158">
      <c r="K125" s="100" t="n"/>
      <c r="L125" s="100" t="n"/>
    </row>
    <row r="126" ht="15.75" customHeight="1" s="158">
      <c r="K126" s="100" t="n"/>
      <c r="L126" s="100" t="n"/>
    </row>
    <row r="127" ht="15.75" customHeight="1" s="158">
      <c r="K127" s="100" t="n"/>
      <c r="L127" s="100" t="n"/>
    </row>
    <row r="128" ht="15.75" customHeight="1" s="158">
      <c r="K128" s="100" t="n"/>
      <c r="L128" s="100" t="n"/>
    </row>
    <row r="129" ht="15.75" customHeight="1" s="158">
      <c r="K129" s="100" t="n"/>
      <c r="L129" s="100" t="n"/>
    </row>
    <row r="130" ht="15.75" customHeight="1" s="158">
      <c r="K130" s="100" t="n"/>
      <c r="L130" s="100" t="n"/>
    </row>
    <row r="131" ht="15.75" customHeight="1" s="158">
      <c r="K131" s="100" t="n"/>
      <c r="L131" s="100" t="n"/>
    </row>
    <row r="132" ht="15.75" customHeight="1" s="158">
      <c r="K132" s="100" t="n"/>
      <c r="L132" s="100" t="n"/>
    </row>
    <row r="133" ht="15.75" customHeight="1" s="158">
      <c r="K133" s="100" t="n"/>
      <c r="L133" s="100" t="n"/>
    </row>
    <row r="134" ht="15.75" customHeight="1" s="158">
      <c r="K134" s="100" t="n"/>
      <c r="L134" s="100" t="n"/>
    </row>
    <row r="135" ht="15.75" customHeight="1" s="158">
      <c r="K135" s="100" t="n"/>
      <c r="L135" s="100" t="n"/>
    </row>
    <row r="136" ht="15.75" customHeight="1" s="158">
      <c r="K136" s="100" t="n"/>
      <c r="L136" s="100" t="n"/>
    </row>
    <row r="137" ht="15.75" customHeight="1" s="158">
      <c r="K137" s="100" t="n"/>
      <c r="L137" s="100" t="n"/>
    </row>
    <row r="138" ht="15.75" customHeight="1" s="158">
      <c r="K138" s="100" t="n"/>
      <c r="L138" s="100" t="n"/>
    </row>
    <row r="139" ht="15.75" customHeight="1" s="158">
      <c r="K139" s="100" t="n"/>
      <c r="L139" s="100" t="n"/>
    </row>
    <row r="140" ht="15.75" customHeight="1" s="158">
      <c r="K140" s="100" t="n"/>
      <c r="L140" s="100" t="n"/>
    </row>
    <row r="141" ht="15.75" customHeight="1" s="158">
      <c r="K141" s="100" t="n"/>
      <c r="L141" s="100" t="n"/>
    </row>
    <row r="142" ht="15.75" customHeight="1" s="158">
      <c r="K142" s="100" t="n"/>
      <c r="L142" s="100" t="n"/>
    </row>
    <row r="143" ht="15.75" customHeight="1" s="158">
      <c r="K143" s="100" t="n"/>
      <c r="L143" s="100" t="n"/>
    </row>
    <row r="144" ht="15.75" customHeight="1" s="158">
      <c r="K144" s="100" t="n"/>
      <c r="L144" s="100" t="n"/>
    </row>
    <row r="145" ht="15.75" customHeight="1" s="158">
      <c r="K145" s="100" t="n"/>
      <c r="L145" s="100" t="n"/>
    </row>
    <row r="146" ht="15.75" customHeight="1" s="158">
      <c r="K146" s="100" t="n"/>
      <c r="L146" s="100" t="n"/>
    </row>
    <row r="147" ht="15.75" customHeight="1" s="158">
      <c r="K147" s="100" t="n"/>
      <c r="L147" s="100" t="n"/>
    </row>
    <row r="148" ht="15.75" customHeight="1" s="158">
      <c r="K148" s="100" t="n"/>
      <c r="L148" s="100" t="n"/>
    </row>
    <row r="149" ht="15.75" customHeight="1" s="158">
      <c r="K149" s="100" t="n"/>
      <c r="L149" s="100" t="n"/>
    </row>
    <row r="150" ht="15.75" customHeight="1" s="158">
      <c r="K150" s="100" t="n"/>
      <c r="L150" s="100" t="n"/>
    </row>
    <row r="151" ht="15.75" customHeight="1" s="158">
      <c r="K151" s="100" t="n"/>
      <c r="L151" s="100" t="n"/>
    </row>
    <row r="152" ht="15.75" customHeight="1" s="158">
      <c r="K152" s="100" t="n"/>
      <c r="L152" s="100" t="n"/>
    </row>
    <row r="153" ht="15.75" customHeight="1" s="158">
      <c r="K153" s="100" t="n"/>
      <c r="L153" s="100" t="n"/>
    </row>
    <row r="154" ht="15.75" customHeight="1" s="158">
      <c r="K154" s="100" t="n"/>
      <c r="L154" s="100" t="n"/>
    </row>
    <row r="155" ht="15.75" customHeight="1" s="158">
      <c r="K155" s="100" t="n"/>
      <c r="L155" s="100" t="n"/>
    </row>
    <row r="156" ht="15.75" customHeight="1" s="158">
      <c r="K156" s="100" t="n"/>
      <c r="L156" s="100" t="n"/>
    </row>
    <row r="157" ht="15.75" customHeight="1" s="158">
      <c r="K157" s="100" t="n"/>
      <c r="L157" s="100" t="n"/>
    </row>
    <row r="158" ht="15.75" customHeight="1" s="158">
      <c r="K158" s="100" t="n"/>
      <c r="L158" s="100" t="n"/>
    </row>
    <row r="159" ht="15.75" customHeight="1" s="158">
      <c r="K159" s="100" t="n"/>
      <c r="L159" s="100" t="n"/>
    </row>
    <row r="160" ht="15.75" customHeight="1" s="158">
      <c r="K160" s="100" t="n"/>
      <c r="L160" s="100" t="n"/>
    </row>
    <row r="161" ht="15.75" customHeight="1" s="158">
      <c r="K161" s="100" t="n"/>
      <c r="L161" s="100" t="n"/>
    </row>
    <row r="162" ht="15.75" customHeight="1" s="158">
      <c r="K162" s="100" t="n"/>
      <c r="L162" s="100" t="n"/>
    </row>
    <row r="163" ht="15.75" customHeight="1" s="158">
      <c r="K163" s="100" t="n"/>
      <c r="L163" s="100" t="n"/>
    </row>
    <row r="164" ht="15.75" customHeight="1" s="158">
      <c r="K164" s="100" t="n"/>
      <c r="L164" s="100" t="n"/>
    </row>
    <row r="165" ht="15.75" customHeight="1" s="158">
      <c r="K165" s="100" t="n"/>
      <c r="L165" s="100" t="n"/>
    </row>
    <row r="166" ht="15.75" customHeight="1" s="158">
      <c r="K166" s="100" t="n"/>
      <c r="L166" s="100" t="n"/>
    </row>
    <row r="167" ht="15.75" customHeight="1" s="158">
      <c r="K167" s="100" t="n"/>
      <c r="L167" s="100" t="n"/>
    </row>
    <row r="168" ht="15.75" customHeight="1" s="158">
      <c r="K168" s="100" t="n"/>
      <c r="L168" s="100" t="n"/>
    </row>
    <row r="169" ht="15.75" customHeight="1" s="158">
      <c r="K169" s="100" t="n"/>
      <c r="L169" s="100" t="n"/>
    </row>
    <row r="170" ht="15.75" customHeight="1" s="158">
      <c r="K170" s="100" t="n"/>
      <c r="L170" s="100" t="n"/>
    </row>
    <row r="171" ht="15.75" customHeight="1" s="158">
      <c r="K171" s="100" t="n"/>
      <c r="L171" s="100" t="n"/>
    </row>
    <row r="172" ht="15.75" customHeight="1" s="158">
      <c r="K172" s="100" t="n"/>
      <c r="L172" s="100" t="n"/>
    </row>
    <row r="173" ht="15.75" customHeight="1" s="158">
      <c r="K173" s="100" t="n"/>
      <c r="L173" s="100" t="n"/>
    </row>
    <row r="174" ht="15.75" customHeight="1" s="158">
      <c r="K174" s="100" t="n"/>
      <c r="L174" s="100" t="n"/>
    </row>
    <row r="175" ht="15.75" customHeight="1" s="158">
      <c r="K175" s="100" t="n"/>
      <c r="L175" s="100" t="n"/>
    </row>
    <row r="176" ht="15.75" customHeight="1" s="158">
      <c r="K176" s="100" t="n"/>
      <c r="L176" s="100" t="n"/>
    </row>
    <row r="177" ht="15.75" customHeight="1" s="158">
      <c r="K177" s="100" t="n"/>
      <c r="L177" s="100" t="n"/>
    </row>
    <row r="178" ht="15.75" customHeight="1" s="158">
      <c r="K178" s="100" t="n"/>
      <c r="L178" s="100" t="n"/>
    </row>
    <row r="179" ht="15.75" customHeight="1" s="158">
      <c r="K179" s="100" t="n"/>
      <c r="L179" s="100" t="n"/>
    </row>
    <row r="180" ht="15.75" customHeight="1" s="158">
      <c r="K180" s="100" t="n"/>
      <c r="L180" s="100" t="n"/>
    </row>
    <row r="181" ht="15.75" customHeight="1" s="158">
      <c r="K181" s="100" t="n"/>
      <c r="L181" s="100" t="n"/>
    </row>
    <row r="182" ht="15.75" customHeight="1" s="158">
      <c r="K182" s="100" t="n"/>
      <c r="L182" s="100" t="n"/>
    </row>
    <row r="183" ht="15.75" customHeight="1" s="158">
      <c r="K183" s="100" t="n"/>
      <c r="L183" s="100" t="n"/>
    </row>
    <row r="184" ht="15.75" customHeight="1" s="158">
      <c r="K184" s="100" t="n"/>
      <c r="L184" s="100" t="n"/>
    </row>
    <row r="185" ht="15.75" customHeight="1" s="158">
      <c r="K185" s="100" t="n"/>
      <c r="L185" s="100" t="n"/>
    </row>
    <row r="186" ht="15.75" customHeight="1" s="158">
      <c r="K186" s="100" t="n"/>
      <c r="L186" s="100" t="n"/>
    </row>
    <row r="187" ht="15.75" customHeight="1" s="158">
      <c r="K187" s="100" t="n"/>
      <c r="L187" s="100" t="n"/>
    </row>
    <row r="188" ht="15.75" customHeight="1" s="158">
      <c r="K188" s="100" t="n"/>
      <c r="L188" s="100" t="n"/>
    </row>
    <row r="189" ht="15.75" customHeight="1" s="158">
      <c r="K189" s="100" t="n"/>
      <c r="L189" s="100" t="n"/>
    </row>
    <row r="190" ht="15.75" customHeight="1" s="158">
      <c r="K190" s="100" t="n"/>
      <c r="L190" s="100" t="n"/>
    </row>
    <row r="191" ht="15.75" customHeight="1" s="158">
      <c r="K191" s="100" t="n"/>
      <c r="L191" s="100" t="n"/>
    </row>
    <row r="192" ht="15.75" customHeight="1" s="158">
      <c r="K192" s="100" t="n"/>
      <c r="L192" s="100" t="n"/>
    </row>
    <row r="193" ht="15.75" customHeight="1" s="158">
      <c r="K193" s="100" t="n"/>
      <c r="L193" s="100" t="n"/>
    </row>
    <row r="194" ht="15.75" customHeight="1" s="158">
      <c r="K194" s="100" t="n"/>
      <c r="L194" s="100" t="n"/>
    </row>
    <row r="195" ht="15.75" customHeight="1" s="158">
      <c r="K195" s="100" t="n"/>
      <c r="L195" s="100" t="n"/>
    </row>
    <row r="196" ht="15.75" customHeight="1" s="158">
      <c r="K196" s="100" t="n"/>
      <c r="L196" s="100" t="n"/>
    </row>
    <row r="197" ht="15.75" customHeight="1" s="158">
      <c r="K197" s="100" t="n"/>
      <c r="L197" s="100" t="n"/>
    </row>
    <row r="198" ht="15.75" customHeight="1" s="158">
      <c r="K198" s="100" t="n"/>
      <c r="L198" s="100" t="n"/>
    </row>
    <row r="199" ht="15.75" customHeight="1" s="158">
      <c r="K199" s="100" t="n"/>
      <c r="L199" s="100" t="n"/>
    </row>
    <row r="200" ht="15.75" customHeight="1" s="158">
      <c r="K200" s="100" t="n"/>
      <c r="L200" s="100" t="n"/>
    </row>
    <row r="201" ht="15.75" customHeight="1" s="158">
      <c r="K201" s="100" t="n"/>
      <c r="L201" s="100" t="n"/>
    </row>
    <row r="202" ht="15.75" customHeight="1" s="158">
      <c r="K202" s="100" t="n"/>
      <c r="L202" s="100" t="n"/>
    </row>
    <row r="203" ht="15.75" customHeight="1" s="158">
      <c r="K203" s="100" t="n"/>
      <c r="L203" s="100" t="n"/>
    </row>
    <row r="204" ht="15.75" customHeight="1" s="158">
      <c r="K204" s="100" t="n"/>
      <c r="L204" s="100" t="n"/>
    </row>
    <row r="205" ht="15.75" customHeight="1" s="158">
      <c r="K205" s="100" t="n"/>
      <c r="L205" s="100" t="n"/>
    </row>
    <row r="206" ht="15.75" customHeight="1" s="158">
      <c r="K206" s="100" t="n"/>
      <c r="L206" s="100" t="n"/>
    </row>
    <row r="207" ht="15.75" customHeight="1" s="158">
      <c r="K207" s="100" t="n"/>
      <c r="L207" s="100" t="n"/>
    </row>
    <row r="208" ht="15.75" customHeight="1" s="158">
      <c r="K208" s="100" t="n"/>
      <c r="L208" s="100" t="n"/>
    </row>
    <row r="209" ht="15.75" customHeight="1" s="158">
      <c r="K209" s="100" t="n"/>
      <c r="L209" s="100" t="n"/>
    </row>
    <row r="210" ht="15.75" customHeight="1" s="158">
      <c r="K210" s="100" t="n"/>
      <c r="L210" s="100" t="n"/>
    </row>
    <row r="211" ht="15.75" customHeight="1" s="158">
      <c r="K211" s="100" t="n"/>
      <c r="L211" s="100" t="n"/>
    </row>
    <row r="212" ht="15.75" customHeight="1" s="158">
      <c r="K212" s="100" t="n"/>
      <c r="L212" s="100" t="n"/>
    </row>
    <row r="213" ht="15.75" customHeight="1" s="158">
      <c r="K213" s="100" t="n"/>
      <c r="L213" s="100" t="n"/>
    </row>
    <row r="214" ht="15.75" customHeight="1" s="158">
      <c r="K214" s="100" t="n"/>
      <c r="L214" s="100" t="n"/>
    </row>
    <row r="215" ht="15.75" customHeight="1" s="158">
      <c r="K215" s="100" t="n"/>
      <c r="L215" s="100" t="n"/>
    </row>
    <row r="216" ht="15.75" customHeight="1" s="158">
      <c r="K216" s="100" t="n"/>
      <c r="L216" s="100" t="n"/>
    </row>
    <row r="217" ht="15.75" customHeight="1" s="158">
      <c r="K217" s="100" t="n"/>
      <c r="L217" s="100" t="n"/>
    </row>
    <row r="218" ht="15.75" customHeight="1" s="158">
      <c r="K218" s="100" t="n"/>
      <c r="L218" s="100" t="n"/>
    </row>
    <row r="219" ht="15.75" customHeight="1" s="158">
      <c r="K219" s="100" t="n"/>
      <c r="L219" s="100" t="n"/>
    </row>
    <row r="220" ht="15.75" customHeight="1" s="158">
      <c r="K220" s="100" t="n"/>
      <c r="L220" s="100" t="n"/>
    </row>
    <row r="221" ht="15.75" customHeight="1" s="158">
      <c r="K221" s="100" t="n"/>
      <c r="L221" s="100" t="n"/>
    </row>
    <row r="222" ht="15.75" customHeight="1" s="158">
      <c r="K222" s="100" t="n"/>
      <c r="L222" s="100" t="n"/>
    </row>
    <row r="223" ht="15.75" customHeight="1" s="158">
      <c r="K223" s="100" t="n"/>
      <c r="L223" s="100" t="n"/>
    </row>
    <row r="224" ht="15.75" customHeight="1" s="158">
      <c r="K224" s="100" t="n"/>
      <c r="L224" s="100" t="n"/>
    </row>
    <row r="225" ht="15.75" customHeight="1" s="158">
      <c r="K225" s="100" t="n"/>
      <c r="L225" s="100" t="n"/>
    </row>
    <row r="226" ht="15.75" customHeight="1" s="158">
      <c r="K226" s="100" t="n"/>
      <c r="L226" s="100" t="n"/>
    </row>
    <row r="227" ht="15.75" customHeight="1" s="158">
      <c r="K227" s="100" t="n"/>
      <c r="L227" s="100" t="n"/>
    </row>
    <row r="228" ht="15.75" customHeight="1" s="158">
      <c r="K228" s="100" t="n"/>
      <c r="L228" s="100" t="n"/>
    </row>
    <row r="229" ht="15.75" customHeight="1" s="158">
      <c r="K229" s="100" t="n"/>
      <c r="L229" s="100" t="n"/>
    </row>
    <row r="230" ht="15.75" customHeight="1" s="158">
      <c r="K230" s="100" t="n"/>
      <c r="L230" s="100" t="n"/>
    </row>
    <row r="231" ht="15.75" customHeight="1" s="158">
      <c r="K231" s="100" t="n"/>
      <c r="L231" s="100" t="n"/>
    </row>
    <row r="232" ht="15.75" customHeight="1" s="158">
      <c r="K232" s="100" t="n"/>
      <c r="L232" s="100" t="n"/>
    </row>
    <row r="233" ht="15.75" customHeight="1" s="158">
      <c r="K233" s="100" t="n"/>
      <c r="L233" s="100" t="n"/>
    </row>
    <row r="234" ht="15.75" customHeight="1" s="158">
      <c r="K234" s="100" t="n"/>
      <c r="L234" s="100" t="n"/>
    </row>
    <row r="235" ht="15.75" customHeight="1" s="158">
      <c r="K235" s="100" t="n"/>
      <c r="L235" s="100" t="n"/>
    </row>
    <row r="236" ht="15.75" customHeight="1" s="158">
      <c r="K236" s="100" t="n"/>
      <c r="L236" s="100" t="n"/>
    </row>
    <row r="237" ht="15.75" customHeight="1" s="158">
      <c r="K237" s="100" t="n"/>
      <c r="L237" s="100" t="n"/>
    </row>
    <row r="238" ht="15.75" customHeight="1" s="158">
      <c r="K238" s="100" t="n"/>
      <c r="L238" s="100" t="n"/>
    </row>
    <row r="239" ht="15.75" customHeight="1" s="158">
      <c r="K239" s="100" t="n"/>
      <c r="L239" s="100" t="n"/>
    </row>
    <row r="240" ht="15.75" customHeight="1" s="158">
      <c r="K240" s="100" t="n"/>
      <c r="L240" s="100" t="n"/>
    </row>
    <row r="241" ht="15.75" customHeight="1" s="158">
      <c r="K241" s="100" t="n"/>
      <c r="L241" s="100" t="n"/>
    </row>
    <row r="242" ht="15.75" customHeight="1" s="158">
      <c r="K242" s="100" t="n"/>
      <c r="L242" s="100" t="n"/>
    </row>
    <row r="243" ht="15.75" customHeight="1" s="158">
      <c r="K243" s="100" t="n"/>
      <c r="L243" s="100" t="n"/>
    </row>
    <row r="244" ht="15.75" customHeight="1" s="158">
      <c r="K244" s="100" t="n"/>
      <c r="L244" s="100" t="n"/>
    </row>
    <row r="245" ht="15.75" customHeight="1" s="158">
      <c r="K245" s="100" t="n"/>
      <c r="L245" s="100" t="n"/>
    </row>
    <row r="246" ht="15.75" customHeight="1" s="158">
      <c r="K246" s="100" t="n"/>
      <c r="L246" s="100" t="n"/>
    </row>
    <row r="247" ht="15.75" customHeight="1" s="158">
      <c r="K247" s="100" t="n"/>
      <c r="L247" s="100" t="n"/>
    </row>
    <row r="248" ht="15.75" customHeight="1" s="158">
      <c r="K248" s="100" t="n"/>
      <c r="L248" s="100" t="n"/>
    </row>
    <row r="249" ht="15.75" customHeight="1" s="158">
      <c r="K249" s="100" t="n"/>
      <c r="L249" s="100" t="n"/>
    </row>
    <row r="250" ht="15.75" customHeight="1" s="158">
      <c r="K250" s="100" t="n"/>
      <c r="L250" s="100" t="n"/>
    </row>
    <row r="251" ht="15.75" customHeight="1" s="158">
      <c r="K251" s="100" t="n"/>
      <c r="L251" s="100" t="n"/>
    </row>
    <row r="252" ht="15.75" customHeight="1" s="158">
      <c r="K252" s="100" t="n"/>
      <c r="L252" s="100" t="n"/>
    </row>
    <row r="253" ht="15.75" customHeight="1" s="158">
      <c r="K253" s="100" t="n"/>
      <c r="L253" s="100" t="n"/>
    </row>
    <row r="254" ht="15.75" customHeight="1" s="158">
      <c r="K254" s="100" t="n"/>
      <c r="L254" s="100" t="n"/>
    </row>
    <row r="255" ht="15.75" customHeight="1" s="158">
      <c r="K255" s="100" t="n"/>
      <c r="L255" s="100" t="n"/>
    </row>
    <row r="256" ht="15.75" customHeight="1" s="158">
      <c r="K256" s="100" t="n"/>
      <c r="L256" s="100" t="n"/>
    </row>
    <row r="257" ht="15.75" customHeight="1" s="158">
      <c r="K257" s="100" t="n"/>
      <c r="L257" s="100" t="n"/>
    </row>
    <row r="258" ht="15.75" customHeight="1" s="158">
      <c r="K258" s="100" t="n"/>
      <c r="L258" s="100" t="n"/>
    </row>
    <row r="259" ht="15.75" customHeight="1" s="158">
      <c r="K259" s="100" t="n"/>
      <c r="L259" s="100" t="n"/>
    </row>
    <row r="260" ht="15.75" customHeight="1" s="158">
      <c r="K260" s="100" t="n"/>
      <c r="L260" s="100" t="n"/>
    </row>
    <row r="261" ht="15.75" customHeight="1" s="158">
      <c r="K261" s="100" t="n"/>
      <c r="L261" s="100" t="n"/>
    </row>
    <row r="262" ht="15.75" customHeight="1" s="158">
      <c r="K262" s="100" t="n"/>
      <c r="L262" s="100" t="n"/>
    </row>
    <row r="263" ht="15.75" customHeight="1" s="158">
      <c r="K263" s="100" t="n"/>
      <c r="L263" s="100" t="n"/>
    </row>
    <row r="264" ht="15.75" customHeight="1" s="158">
      <c r="K264" s="100" t="n"/>
      <c r="L264" s="100" t="n"/>
    </row>
    <row r="265" ht="15.75" customHeight="1" s="158">
      <c r="K265" s="100" t="n"/>
      <c r="L265" s="100" t="n"/>
    </row>
    <row r="266" ht="15.75" customHeight="1" s="158">
      <c r="K266" s="100" t="n"/>
      <c r="L266" s="100" t="n"/>
    </row>
    <row r="267" ht="15.75" customHeight="1" s="158">
      <c r="K267" s="100" t="n"/>
      <c r="L267" s="100" t="n"/>
    </row>
    <row r="268" ht="15.75" customHeight="1" s="158">
      <c r="K268" s="100" t="n"/>
      <c r="L268" s="100" t="n"/>
    </row>
    <row r="269" ht="15.75" customHeight="1" s="158">
      <c r="K269" s="100" t="n"/>
      <c r="L269" s="100" t="n"/>
    </row>
    <row r="270" ht="15.75" customHeight="1" s="158">
      <c r="K270" s="100" t="n"/>
      <c r="L270" s="100" t="n"/>
    </row>
    <row r="271" ht="15.75" customHeight="1" s="158">
      <c r="K271" s="100" t="n"/>
      <c r="L271" s="100" t="n"/>
    </row>
    <row r="272" ht="15.75" customHeight="1" s="158">
      <c r="K272" s="100" t="n"/>
      <c r="L272" s="100" t="n"/>
    </row>
    <row r="273" ht="15.75" customHeight="1" s="158">
      <c r="K273" s="100" t="n"/>
      <c r="L273" s="100" t="n"/>
    </row>
    <row r="274" ht="15.75" customHeight="1" s="158">
      <c r="K274" s="100" t="n"/>
      <c r="L274" s="100" t="n"/>
    </row>
    <row r="275" ht="15.75" customHeight="1" s="158">
      <c r="K275" s="100" t="n"/>
      <c r="L275" s="100" t="n"/>
    </row>
    <row r="276" ht="15.75" customHeight="1" s="158">
      <c r="K276" s="100" t="n"/>
      <c r="L276" s="100" t="n"/>
    </row>
    <row r="277" ht="15.75" customHeight="1" s="158">
      <c r="K277" s="100" t="n"/>
      <c r="L277" s="100" t="n"/>
    </row>
    <row r="278" ht="15.75" customHeight="1" s="158">
      <c r="K278" s="100" t="n"/>
      <c r="L278" s="100" t="n"/>
    </row>
    <row r="279" ht="15.75" customHeight="1" s="158">
      <c r="K279" s="100" t="n"/>
      <c r="L279" s="100" t="n"/>
    </row>
    <row r="280" ht="15.75" customHeight="1" s="158">
      <c r="K280" s="100" t="n"/>
      <c r="L280" s="100" t="n"/>
    </row>
    <row r="281" ht="15.75" customHeight="1" s="158">
      <c r="K281" s="100" t="n"/>
      <c r="L281" s="100" t="n"/>
    </row>
    <row r="282" ht="15.75" customHeight="1" s="158">
      <c r="K282" s="100" t="n"/>
      <c r="L282" s="100" t="n"/>
    </row>
    <row r="283" ht="15.75" customHeight="1" s="158">
      <c r="K283" s="100" t="n"/>
      <c r="L283" s="100" t="n"/>
    </row>
    <row r="284" ht="15.75" customHeight="1" s="158">
      <c r="K284" s="100" t="n"/>
      <c r="L284" s="100" t="n"/>
    </row>
    <row r="285" ht="15.75" customHeight="1" s="158">
      <c r="K285" s="100" t="n"/>
      <c r="L285" s="100" t="n"/>
    </row>
    <row r="286" ht="15.75" customHeight="1" s="158">
      <c r="K286" s="100" t="n"/>
      <c r="L286" s="100" t="n"/>
    </row>
    <row r="287" ht="15.75" customHeight="1" s="158">
      <c r="K287" s="100" t="n"/>
      <c r="L287" s="100" t="n"/>
    </row>
    <row r="288" ht="15.75" customHeight="1" s="158">
      <c r="K288" s="100" t="n"/>
      <c r="L288" s="100" t="n"/>
    </row>
    <row r="289" ht="15.75" customHeight="1" s="158">
      <c r="K289" s="100" t="n"/>
      <c r="L289" s="100" t="n"/>
    </row>
    <row r="290" ht="15.75" customHeight="1" s="158">
      <c r="K290" s="100" t="n"/>
      <c r="L290" s="100" t="n"/>
    </row>
    <row r="291" ht="15.75" customHeight="1" s="158">
      <c r="K291" s="100" t="n"/>
      <c r="L291" s="100" t="n"/>
    </row>
    <row r="292" ht="15.75" customHeight="1" s="158">
      <c r="K292" s="100" t="n"/>
      <c r="L292" s="100" t="n"/>
    </row>
    <row r="293" ht="15.75" customHeight="1" s="158">
      <c r="K293" s="100" t="n"/>
      <c r="L293" s="100" t="n"/>
    </row>
    <row r="294" ht="15.75" customHeight="1" s="158">
      <c r="K294" s="100" t="n"/>
      <c r="L294" s="100" t="n"/>
    </row>
    <row r="295" ht="15.75" customHeight="1" s="158">
      <c r="K295" s="100" t="n"/>
      <c r="L295" s="100" t="n"/>
    </row>
    <row r="296" ht="15.75" customHeight="1" s="158">
      <c r="K296" s="100" t="n"/>
      <c r="L296" s="100" t="n"/>
    </row>
    <row r="297" ht="15.75" customHeight="1" s="158">
      <c r="K297" s="100" t="n"/>
      <c r="L297" s="100" t="n"/>
    </row>
    <row r="298" ht="15.75" customHeight="1" s="158">
      <c r="K298" s="100" t="n"/>
      <c r="L298" s="100" t="n"/>
    </row>
    <row r="299" ht="15.75" customHeight="1" s="158">
      <c r="K299" s="100" t="n"/>
      <c r="L299" s="100" t="n"/>
    </row>
    <row r="300" ht="15.75" customHeight="1" s="158">
      <c r="K300" s="100" t="n"/>
      <c r="L300" s="100" t="n"/>
    </row>
    <row r="301" ht="15.75" customHeight="1" s="158">
      <c r="K301" s="100" t="n"/>
      <c r="L301" s="100" t="n"/>
    </row>
    <row r="302" ht="15.75" customHeight="1" s="158">
      <c r="K302" s="100" t="n"/>
      <c r="L302" s="100" t="n"/>
    </row>
    <row r="303" ht="15.75" customHeight="1" s="158">
      <c r="K303" s="100" t="n"/>
      <c r="L303" s="100" t="n"/>
    </row>
    <row r="304" ht="15.75" customHeight="1" s="158">
      <c r="K304" s="100" t="n"/>
      <c r="L304" s="100" t="n"/>
    </row>
    <row r="305" ht="15.75" customHeight="1" s="158">
      <c r="K305" s="100" t="n"/>
      <c r="L305" s="100" t="n"/>
    </row>
    <row r="306" ht="15.75" customHeight="1" s="158">
      <c r="K306" s="100" t="n"/>
      <c r="L306" s="100" t="n"/>
    </row>
    <row r="307" ht="15.75" customHeight="1" s="158">
      <c r="K307" s="100" t="n"/>
      <c r="L307" s="100" t="n"/>
    </row>
    <row r="308" ht="15.75" customHeight="1" s="158">
      <c r="K308" s="100" t="n"/>
      <c r="L308" s="100" t="n"/>
    </row>
    <row r="309" ht="15.75" customHeight="1" s="158">
      <c r="K309" s="100" t="n"/>
      <c r="L309" s="100" t="n"/>
    </row>
    <row r="310" ht="15.75" customHeight="1" s="158">
      <c r="K310" s="100" t="n"/>
      <c r="L310" s="100" t="n"/>
    </row>
    <row r="311" ht="15.75" customHeight="1" s="158">
      <c r="K311" s="100" t="n"/>
      <c r="L311" s="100" t="n"/>
    </row>
    <row r="312" ht="15.75" customHeight="1" s="158">
      <c r="K312" s="100" t="n"/>
      <c r="L312" s="100" t="n"/>
    </row>
    <row r="313" ht="15.75" customHeight="1" s="158">
      <c r="K313" s="100" t="n"/>
      <c r="L313" s="100" t="n"/>
    </row>
    <row r="314" ht="15.75" customHeight="1" s="158">
      <c r="K314" s="100" t="n"/>
      <c r="L314" s="100" t="n"/>
    </row>
    <row r="315" ht="15.75" customHeight="1" s="158">
      <c r="K315" s="100" t="n"/>
      <c r="L315" s="100" t="n"/>
    </row>
    <row r="316" ht="15.75" customHeight="1" s="158">
      <c r="K316" s="100" t="n"/>
      <c r="L316" s="100" t="n"/>
    </row>
    <row r="317" ht="15.75" customHeight="1" s="158">
      <c r="K317" s="100" t="n"/>
      <c r="L317" s="100" t="n"/>
    </row>
    <row r="318" ht="15.75" customHeight="1" s="158">
      <c r="K318" s="100" t="n"/>
      <c r="L318" s="100" t="n"/>
    </row>
    <row r="319" ht="15.75" customHeight="1" s="158">
      <c r="K319" s="100" t="n"/>
      <c r="L319" s="100" t="n"/>
    </row>
    <row r="320" ht="15.75" customHeight="1" s="158">
      <c r="K320" s="100" t="n"/>
      <c r="L320" s="100" t="n"/>
    </row>
    <row r="321" ht="15.75" customHeight="1" s="158">
      <c r="K321" s="100" t="n"/>
      <c r="L321" s="100" t="n"/>
    </row>
    <row r="322" ht="15.75" customHeight="1" s="158">
      <c r="K322" s="100" t="n"/>
      <c r="L322" s="100" t="n"/>
    </row>
    <row r="323" ht="15.75" customHeight="1" s="158">
      <c r="K323" s="100" t="n"/>
      <c r="L323" s="100" t="n"/>
    </row>
    <row r="324" ht="15.75" customHeight="1" s="158">
      <c r="K324" s="100" t="n"/>
      <c r="L324" s="100" t="n"/>
    </row>
    <row r="325" ht="15.75" customHeight="1" s="158">
      <c r="K325" s="100" t="n"/>
      <c r="L325" s="100" t="n"/>
    </row>
    <row r="326" ht="15.75" customHeight="1" s="158">
      <c r="K326" s="100" t="n"/>
      <c r="L326" s="100" t="n"/>
    </row>
    <row r="327" ht="15.75" customHeight="1" s="158">
      <c r="K327" s="100" t="n"/>
      <c r="L327" s="100" t="n"/>
    </row>
    <row r="328" ht="15.75" customHeight="1" s="158">
      <c r="K328" s="100" t="n"/>
      <c r="L328" s="100" t="n"/>
    </row>
    <row r="329" ht="15.75" customHeight="1" s="158">
      <c r="K329" s="100" t="n"/>
      <c r="L329" s="100" t="n"/>
    </row>
    <row r="330" ht="15.75" customHeight="1" s="158">
      <c r="K330" s="100" t="n"/>
      <c r="L330" s="100" t="n"/>
    </row>
    <row r="331" ht="15.75" customHeight="1" s="158">
      <c r="K331" s="100" t="n"/>
      <c r="L331" s="100" t="n"/>
    </row>
    <row r="332" ht="15.75" customHeight="1" s="158">
      <c r="K332" s="100" t="n"/>
      <c r="L332" s="100" t="n"/>
    </row>
    <row r="333" ht="15.75" customHeight="1" s="158">
      <c r="K333" s="100" t="n"/>
      <c r="L333" s="100" t="n"/>
    </row>
    <row r="334" ht="15.75" customHeight="1" s="158">
      <c r="K334" s="100" t="n"/>
      <c r="L334" s="100" t="n"/>
    </row>
    <row r="335" ht="15.75" customHeight="1" s="158">
      <c r="K335" s="100" t="n"/>
      <c r="L335" s="100" t="n"/>
    </row>
    <row r="336" ht="15.75" customHeight="1" s="158">
      <c r="K336" s="100" t="n"/>
      <c r="L336" s="100" t="n"/>
    </row>
    <row r="337" ht="15.75" customHeight="1" s="158">
      <c r="K337" s="100" t="n"/>
      <c r="L337" s="100" t="n"/>
    </row>
    <row r="338" ht="15.75" customHeight="1" s="158">
      <c r="K338" s="100" t="n"/>
      <c r="L338" s="100" t="n"/>
    </row>
    <row r="339" ht="15.75" customHeight="1" s="158">
      <c r="K339" s="100" t="n"/>
      <c r="L339" s="100" t="n"/>
    </row>
    <row r="340" ht="15.75" customHeight="1" s="158">
      <c r="K340" s="100" t="n"/>
      <c r="L340" s="100" t="n"/>
    </row>
    <row r="341" ht="15.75" customHeight="1" s="158">
      <c r="K341" s="100" t="n"/>
      <c r="L341" s="100" t="n"/>
    </row>
    <row r="342" ht="15.75" customHeight="1" s="158">
      <c r="K342" s="100" t="n"/>
      <c r="L342" s="100" t="n"/>
    </row>
    <row r="343" ht="15.75" customHeight="1" s="158">
      <c r="K343" s="100" t="n"/>
      <c r="L343" s="100" t="n"/>
    </row>
    <row r="344" ht="15.75" customHeight="1" s="158">
      <c r="K344" s="100" t="n"/>
      <c r="L344" s="100" t="n"/>
    </row>
    <row r="345" ht="15.75" customHeight="1" s="158">
      <c r="K345" s="100" t="n"/>
      <c r="L345" s="100" t="n"/>
    </row>
    <row r="346" ht="15.75" customHeight="1" s="158">
      <c r="K346" s="100" t="n"/>
      <c r="L346" s="100" t="n"/>
    </row>
    <row r="347" ht="15.75" customHeight="1" s="158">
      <c r="K347" s="100" t="n"/>
      <c r="L347" s="100" t="n"/>
    </row>
    <row r="348" ht="15.75" customHeight="1" s="158">
      <c r="K348" s="100" t="n"/>
      <c r="L348" s="100" t="n"/>
    </row>
    <row r="349" ht="15.75" customHeight="1" s="158">
      <c r="K349" s="100" t="n"/>
      <c r="L349" s="100" t="n"/>
    </row>
    <row r="350" ht="15.75" customHeight="1" s="158">
      <c r="K350" s="100" t="n"/>
      <c r="L350" s="100" t="n"/>
    </row>
    <row r="351" ht="15.75" customHeight="1" s="158">
      <c r="K351" s="100" t="n"/>
      <c r="L351" s="100" t="n"/>
    </row>
    <row r="352" ht="15.75" customHeight="1" s="158">
      <c r="K352" s="100" t="n"/>
      <c r="L352" s="100" t="n"/>
    </row>
    <row r="353" ht="15.75" customHeight="1" s="158">
      <c r="K353" s="100" t="n"/>
      <c r="L353" s="100" t="n"/>
    </row>
    <row r="354" ht="15.75" customHeight="1" s="158">
      <c r="K354" s="100" t="n"/>
      <c r="L354" s="100" t="n"/>
    </row>
    <row r="355" ht="15.75" customHeight="1" s="158">
      <c r="K355" s="100" t="n"/>
      <c r="L355" s="100" t="n"/>
    </row>
    <row r="356" ht="15.75" customHeight="1" s="158">
      <c r="K356" s="100" t="n"/>
      <c r="L356" s="100" t="n"/>
    </row>
    <row r="357" ht="15.75" customHeight="1" s="158">
      <c r="K357" s="100" t="n"/>
      <c r="L357" s="100" t="n"/>
    </row>
    <row r="358" ht="15.75" customHeight="1" s="158">
      <c r="K358" s="100" t="n"/>
      <c r="L358" s="100" t="n"/>
    </row>
    <row r="359" ht="15.75" customHeight="1" s="158">
      <c r="K359" s="100" t="n"/>
      <c r="L359" s="100" t="n"/>
    </row>
    <row r="360" ht="15.75" customHeight="1" s="158">
      <c r="K360" s="100" t="n"/>
      <c r="L360" s="100" t="n"/>
    </row>
    <row r="361" ht="15.75" customHeight="1" s="158">
      <c r="K361" s="100" t="n"/>
      <c r="L361" s="100" t="n"/>
    </row>
    <row r="362" ht="15.75" customHeight="1" s="158">
      <c r="K362" s="100" t="n"/>
      <c r="L362" s="100" t="n"/>
    </row>
    <row r="363" ht="15.75" customHeight="1" s="158">
      <c r="K363" s="100" t="n"/>
      <c r="L363" s="100" t="n"/>
    </row>
    <row r="364" ht="15.75" customHeight="1" s="158">
      <c r="K364" s="100" t="n"/>
      <c r="L364" s="100" t="n"/>
    </row>
    <row r="365" ht="15.75" customHeight="1" s="158">
      <c r="K365" s="100" t="n"/>
      <c r="L365" s="100" t="n"/>
    </row>
    <row r="366" ht="15.75" customHeight="1" s="158">
      <c r="K366" s="100" t="n"/>
      <c r="L366" s="100" t="n"/>
    </row>
    <row r="367" ht="15.75" customHeight="1" s="158">
      <c r="K367" s="100" t="n"/>
      <c r="L367" s="100" t="n"/>
    </row>
    <row r="368" ht="15.75" customHeight="1" s="158">
      <c r="K368" s="100" t="n"/>
      <c r="L368" s="100" t="n"/>
    </row>
    <row r="369" ht="15.75" customHeight="1" s="158">
      <c r="K369" s="100" t="n"/>
      <c r="L369" s="100" t="n"/>
    </row>
    <row r="370" ht="15.75" customHeight="1" s="158">
      <c r="K370" s="100" t="n"/>
      <c r="L370" s="100" t="n"/>
    </row>
    <row r="371" ht="15.75" customHeight="1" s="158">
      <c r="K371" s="100" t="n"/>
      <c r="L371" s="100" t="n"/>
    </row>
    <row r="372" ht="15.75" customHeight="1" s="158">
      <c r="K372" s="100" t="n"/>
      <c r="L372" s="100" t="n"/>
    </row>
    <row r="373" ht="15.75" customHeight="1" s="158">
      <c r="K373" s="100" t="n"/>
      <c r="L373" s="100" t="n"/>
    </row>
    <row r="374" ht="15.75" customHeight="1" s="158">
      <c r="K374" s="100" t="n"/>
      <c r="L374" s="100" t="n"/>
    </row>
    <row r="375" ht="15.75" customHeight="1" s="158">
      <c r="K375" s="100" t="n"/>
      <c r="L375" s="100" t="n"/>
    </row>
    <row r="376" ht="15.75" customHeight="1" s="158">
      <c r="K376" s="100" t="n"/>
      <c r="L376" s="100" t="n"/>
    </row>
    <row r="377" ht="15.75" customHeight="1" s="158">
      <c r="K377" s="100" t="n"/>
      <c r="L377" s="100" t="n"/>
    </row>
    <row r="378" ht="15.75" customHeight="1" s="158">
      <c r="K378" s="100" t="n"/>
      <c r="L378" s="100" t="n"/>
    </row>
    <row r="379" ht="15.75" customHeight="1" s="158">
      <c r="K379" s="100" t="n"/>
      <c r="L379" s="100" t="n"/>
    </row>
    <row r="380" ht="15.75" customHeight="1" s="158">
      <c r="K380" s="100" t="n"/>
      <c r="L380" s="100" t="n"/>
    </row>
    <row r="381" ht="15.75" customHeight="1" s="158">
      <c r="K381" s="100" t="n"/>
      <c r="L381" s="100" t="n"/>
    </row>
    <row r="382" ht="15.75" customHeight="1" s="158">
      <c r="K382" s="100" t="n"/>
      <c r="L382" s="100" t="n"/>
    </row>
    <row r="383" ht="15.75" customHeight="1" s="158">
      <c r="K383" s="100" t="n"/>
      <c r="L383" s="100" t="n"/>
    </row>
    <row r="384" ht="15.75" customHeight="1" s="158">
      <c r="K384" s="100" t="n"/>
      <c r="L384" s="100" t="n"/>
    </row>
    <row r="385" ht="15.75" customHeight="1" s="158">
      <c r="K385" s="100" t="n"/>
      <c r="L385" s="100" t="n"/>
    </row>
    <row r="386" ht="15.75" customHeight="1" s="158">
      <c r="K386" s="100" t="n"/>
      <c r="L386" s="100" t="n"/>
    </row>
    <row r="387" ht="15.75" customHeight="1" s="158">
      <c r="K387" s="100" t="n"/>
      <c r="L387" s="100" t="n"/>
    </row>
    <row r="388" ht="15.75" customHeight="1" s="158">
      <c r="K388" s="100" t="n"/>
      <c r="L388" s="100" t="n"/>
    </row>
    <row r="389" ht="15.75" customHeight="1" s="158">
      <c r="K389" s="100" t="n"/>
      <c r="L389" s="100" t="n"/>
    </row>
    <row r="390" ht="15.75" customHeight="1" s="158">
      <c r="K390" s="100" t="n"/>
      <c r="L390" s="100" t="n"/>
    </row>
    <row r="391" ht="15.75" customHeight="1" s="158">
      <c r="K391" s="100" t="n"/>
      <c r="L391" s="100" t="n"/>
    </row>
    <row r="392" ht="15.75" customHeight="1" s="158">
      <c r="K392" s="100" t="n"/>
      <c r="L392" s="100" t="n"/>
    </row>
    <row r="393" ht="15.75" customHeight="1" s="158">
      <c r="K393" s="100" t="n"/>
      <c r="L393" s="100" t="n"/>
    </row>
    <row r="394" ht="15.75" customHeight="1" s="158">
      <c r="K394" s="100" t="n"/>
      <c r="L394" s="100" t="n"/>
    </row>
    <row r="395" ht="15.75" customHeight="1" s="158">
      <c r="K395" s="100" t="n"/>
      <c r="L395" s="100" t="n"/>
    </row>
    <row r="396" ht="15.75" customHeight="1" s="158">
      <c r="K396" s="100" t="n"/>
      <c r="L396" s="100" t="n"/>
    </row>
    <row r="397" ht="15.75" customHeight="1" s="158">
      <c r="K397" s="100" t="n"/>
      <c r="L397" s="100" t="n"/>
    </row>
    <row r="398" ht="15.75" customHeight="1" s="158">
      <c r="K398" s="100" t="n"/>
      <c r="L398" s="100" t="n"/>
    </row>
    <row r="399" ht="15.75" customHeight="1" s="158">
      <c r="K399" s="100" t="n"/>
      <c r="L399" s="100" t="n"/>
    </row>
    <row r="400" ht="15.75" customHeight="1" s="158">
      <c r="K400" s="100" t="n"/>
      <c r="L400" s="100" t="n"/>
    </row>
    <row r="401" ht="15.75" customHeight="1" s="158">
      <c r="K401" s="100" t="n"/>
      <c r="L401" s="100" t="n"/>
    </row>
    <row r="402" ht="15.75" customHeight="1" s="158">
      <c r="K402" s="100" t="n"/>
      <c r="L402" s="100" t="n"/>
    </row>
    <row r="403" ht="15.75" customHeight="1" s="158">
      <c r="K403" s="100" t="n"/>
      <c r="L403" s="100" t="n"/>
    </row>
    <row r="404" ht="15.75" customHeight="1" s="158">
      <c r="K404" s="100" t="n"/>
      <c r="L404" s="100" t="n"/>
    </row>
    <row r="405" ht="15.75" customHeight="1" s="158">
      <c r="K405" s="100" t="n"/>
      <c r="L405" s="100" t="n"/>
    </row>
    <row r="406" ht="15.75" customHeight="1" s="158">
      <c r="K406" s="100" t="n"/>
      <c r="L406" s="100" t="n"/>
    </row>
    <row r="407" ht="15.75" customHeight="1" s="158">
      <c r="K407" s="100" t="n"/>
      <c r="L407" s="100" t="n"/>
    </row>
    <row r="408" ht="15.75" customHeight="1" s="158">
      <c r="K408" s="100" t="n"/>
      <c r="L408" s="100" t="n"/>
    </row>
    <row r="409" ht="15.75" customHeight="1" s="158">
      <c r="K409" s="100" t="n"/>
      <c r="L409" s="100" t="n"/>
    </row>
    <row r="410" ht="15.75" customHeight="1" s="158">
      <c r="K410" s="100" t="n"/>
      <c r="L410" s="100" t="n"/>
    </row>
    <row r="411" ht="15.75" customHeight="1" s="158">
      <c r="K411" s="100" t="n"/>
      <c r="L411" s="100" t="n"/>
    </row>
    <row r="412" ht="15.75" customHeight="1" s="158">
      <c r="K412" s="100" t="n"/>
      <c r="L412" s="100" t="n"/>
    </row>
    <row r="413" ht="15.75" customHeight="1" s="158">
      <c r="K413" s="100" t="n"/>
      <c r="L413" s="100" t="n"/>
    </row>
    <row r="414" ht="15.75" customHeight="1" s="158">
      <c r="K414" s="100" t="n"/>
      <c r="L414" s="100" t="n"/>
    </row>
    <row r="415" ht="15.75" customHeight="1" s="158">
      <c r="K415" s="100" t="n"/>
      <c r="L415" s="100" t="n"/>
    </row>
    <row r="416" ht="15.75" customHeight="1" s="158">
      <c r="K416" s="100" t="n"/>
      <c r="L416" s="100" t="n"/>
    </row>
    <row r="417" ht="15.75" customHeight="1" s="158">
      <c r="K417" s="100" t="n"/>
      <c r="L417" s="100" t="n"/>
    </row>
    <row r="418" ht="15.75" customHeight="1" s="158">
      <c r="K418" s="100" t="n"/>
      <c r="L418" s="100" t="n"/>
    </row>
    <row r="419" ht="15.75" customHeight="1" s="158">
      <c r="K419" s="100" t="n"/>
      <c r="L419" s="100" t="n"/>
    </row>
    <row r="420" ht="15.75" customHeight="1" s="158">
      <c r="K420" s="100" t="n"/>
      <c r="L420" s="100" t="n"/>
    </row>
    <row r="421" ht="15.75" customHeight="1" s="158">
      <c r="K421" s="100" t="n"/>
      <c r="L421" s="100" t="n"/>
    </row>
    <row r="422" ht="15.75" customHeight="1" s="158">
      <c r="K422" s="100" t="n"/>
      <c r="L422" s="100" t="n"/>
    </row>
    <row r="423" ht="15.75" customHeight="1" s="158">
      <c r="K423" s="100" t="n"/>
      <c r="L423" s="100" t="n"/>
    </row>
    <row r="424" ht="15.75" customHeight="1" s="158">
      <c r="K424" s="100" t="n"/>
      <c r="L424" s="100" t="n"/>
    </row>
    <row r="425" ht="15.75" customHeight="1" s="158">
      <c r="K425" s="100" t="n"/>
      <c r="L425" s="100" t="n"/>
    </row>
    <row r="426" ht="15.75" customHeight="1" s="158">
      <c r="K426" s="100" t="n"/>
      <c r="L426" s="100" t="n"/>
    </row>
    <row r="427" ht="15.75" customHeight="1" s="158">
      <c r="K427" s="100" t="n"/>
      <c r="L427" s="100" t="n"/>
    </row>
    <row r="428" ht="15.75" customHeight="1" s="158">
      <c r="K428" s="100" t="n"/>
      <c r="L428" s="100" t="n"/>
    </row>
    <row r="429" ht="15.75" customHeight="1" s="158">
      <c r="K429" s="100" t="n"/>
      <c r="L429" s="100" t="n"/>
    </row>
    <row r="430" ht="15.75" customHeight="1" s="158">
      <c r="K430" s="100" t="n"/>
      <c r="L430" s="100" t="n"/>
    </row>
    <row r="431" ht="15.75" customHeight="1" s="158">
      <c r="K431" s="100" t="n"/>
      <c r="L431" s="100" t="n"/>
    </row>
    <row r="432" ht="15.75" customHeight="1" s="158">
      <c r="K432" s="100" t="n"/>
      <c r="L432" s="100" t="n"/>
    </row>
    <row r="433" ht="15.75" customHeight="1" s="158">
      <c r="K433" s="100" t="n"/>
      <c r="L433" s="100" t="n"/>
    </row>
    <row r="434" ht="15.75" customHeight="1" s="158">
      <c r="K434" s="100" t="n"/>
      <c r="L434" s="100" t="n"/>
    </row>
    <row r="435" ht="15.75" customHeight="1" s="158">
      <c r="K435" s="100" t="n"/>
      <c r="L435" s="100" t="n"/>
    </row>
    <row r="436" ht="15.75" customHeight="1" s="158">
      <c r="K436" s="100" t="n"/>
      <c r="L436" s="100" t="n"/>
    </row>
    <row r="437" ht="15.75" customHeight="1" s="158">
      <c r="K437" s="100" t="n"/>
      <c r="L437" s="100" t="n"/>
    </row>
    <row r="438" ht="15.75" customHeight="1" s="158">
      <c r="K438" s="100" t="n"/>
      <c r="L438" s="100" t="n"/>
    </row>
    <row r="439" ht="15.75" customHeight="1" s="158">
      <c r="K439" s="100" t="n"/>
      <c r="L439" s="100" t="n"/>
    </row>
    <row r="440" ht="15.75" customHeight="1" s="158">
      <c r="K440" s="100" t="n"/>
      <c r="L440" s="100" t="n"/>
    </row>
    <row r="441" ht="15.75" customHeight="1" s="158">
      <c r="K441" s="100" t="n"/>
      <c r="L441" s="100" t="n"/>
    </row>
    <row r="442" ht="15.75" customHeight="1" s="158">
      <c r="K442" s="100" t="n"/>
      <c r="L442" s="100" t="n"/>
    </row>
    <row r="443" ht="15.75" customHeight="1" s="158">
      <c r="K443" s="100" t="n"/>
      <c r="L443" s="100" t="n"/>
    </row>
    <row r="444" ht="15.75" customHeight="1" s="158">
      <c r="K444" s="100" t="n"/>
      <c r="L444" s="100" t="n"/>
    </row>
    <row r="445" ht="15.75" customHeight="1" s="158">
      <c r="K445" s="100" t="n"/>
      <c r="L445" s="100" t="n"/>
    </row>
    <row r="446" ht="15.75" customHeight="1" s="158">
      <c r="K446" s="100" t="n"/>
      <c r="L446" s="100" t="n"/>
    </row>
    <row r="447" ht="15.75" customHeight="1" s="158">
      <c r="K447" s="100" t="n"/>
      <c r="L447" s="100" t="n"/>
    </row>
    <row r="448" ht="15.75" customHeight="1" s="158">
      <c r="K448" s="100" t="n"/>
      <c r="L448" s="100" t="n"/>
    </row>
    <row r="449" ht="15.75" customHeight="1" s="158">
      <c r="K449" s="100" t="n"/>
      <c r="L449" s="100" t="n"/>
    </row>
    <row r="450" ht="15.75" customHeight="1" s="158">
      <c r="K450" s="100" t="n"/>
      <c r="L450" s="100" t="n"/>
    </row>
    <row r="451" ht="15.75" customHeight="1" s="158">
      <c r="K451" s="100" t="n"/>
      <c r="L451" s="100" t="n"/>
    </row>
    <row r="452" ht="15.75" customHeight="1" s="158">
      <c r="K452" s="100" t="n"/>
      <c r="L452" s="100" t="n"/>
    </row>
    <row r="453" ht="15.75" customHeight="1" s="158">
      <c r="K453" s="100" t="n"/>
      <c r="L453" s="100" t="n"/>
    </row>
    <row r="454" ht="15.75" customHeight="1" s="158">
      <c r="K454" s="100" t="n"/>
      <c r="L454" s="100" t="n"/>
    </row>
    <row r="455" ht="15.75" customHeight="1" s="158">
      <c r="K455" s="100" t="n"/>
      <c r="L455" s="100" t="n"/>
    </row>
    <row r="456" ht="15.75" customHeight="1" s="158">
      <c r="K456" s="100" t="n"/>
      <c r="L456" s="100" t="n"/>
    </row>
    <row r="457" ht="15.75" customHeight="1" s="158">
      <c r="K457" s="100" t="n"/>
      <c r="L457" s="100" t="n"/>
    </row>
    <row r="458" ht="15.75" customHeight="1" s="158">
      <c r="K458" s="100" t="n"/>
      <c r="L458" s="100" t="n"/>
    </row>
    <row r="459" ht="15.75" customHeight="1" s="158">
      <c r="K459" s="100" t="n"/>
      <c r="L459" s="100" t="n"/>
    </row>
    <row r="460" ht="15.75" customHeight="1" s="158">
      <c r="K460" s="100" t="n"/>
      <c r="L460" s="100" t="n"/>
    </row>
    <row r="461" ht="15.75" customHeight="1" s="158">
      <c r="K461" s="100" t="n"/>
      <c r="L461" s="100" t="n"/>
    </row>
    <row r="462" ht="15.75" customHeight="1" s="158">
      <c r="K462" s="100" t="n"/>
      <c r="L462" s="100" t="n"/>
    </row>
    <row r="463" ht="15.75" customHeight="1" s="158">
      <c r="K463" s="100" t="n"/>
      <c r="L463" s="100" t="n"/>
    </row>
    <row r="464" ht="15.75" customHeight="1" s="158">
      <c r="K464" s="100" t="n"/>
      <c r="L464" s="100" t="n"/>
    </row>
    <row r="465" ht="15.75" customHeight="1" s="158">
      <c r="K465" s="100" t="n"/>
      <c r="L465" s="100" t="n"/>
    </row>
    <row r="466" ht="15.75" customHeight="1" s="158">
      <c r="K466" s="100" t="n"/>
      <c r="L466" s="100" t="n"/>
    </row>
    <row r="467" ht="15.75" customHeight="1" s="158">
      <c r="K467" s="100" t="n"/>
      <c r="L467" s="100" t="n"/>
    </row>
    <row r="468" ht="15.75" customHeight="1" s="158">
      <c r="K468" s="100" t="n"/>
      <c r="L468" s="100" t="n"/>
    </row>
    <row r="469" ht="15.75" customHeight="1" s="158">
      <c r="K469" s="100" t="n"/>
      <c r="L469" s="100" t="n"/>
    </row>
    <row r="470" ht="15.75" customHeight="1" s="158">
      <c r="K470" s="100" t="n"/>
      <c r="L470" s="100" t="n"/>
    </row>
    <row r="471" ht="15.75" customHeight="1" s="158">
      <c r="K471" s="100" t="n"/>
      <c r="L471" s="100" t="n"/>
    </row>
    <row r="472" ht="15.75" customHeight="1" s="158">
      <c r="K472" s="100" t="n"/>
      <c r="L472" s="100" t="n"/>
    </row>
    <row r="473" ht="15.75" customHeight="1" s="158">
      <c r="K473" s="100" t="n"/>
      <c r="L473" s="100" t="n"/>
    </row>
    <row r="474" ht="15.75" customHeight="1" s="158">
      <c r="K474" s="100" t="n"/>
      <c r="L474" s="100" t="n"/>
    </row>
    <row r="475" ht="15.75" customHeight="1" s="158">
      <c r="K475" s="100" t="n"/>
      <c r="L475" s="100" t="n"/>
    </row>
    <row r="476" ht="15.75" customHeight="1" s="158">
      <c r="K476" s="100" t="n"/>
      <c r="L476" s="100" t="n"/>
    </row>
    <row r="477" ht="15.75" customHeight="1" s="158">
      <c r="K477" s="100" t="n"/>
      <c r="L477" s="100" t="n"/>
    </row>
    <row r="478" ht="15.75" customHeight="1" s="158">
      <c r="K478" s="100" t="n"/>
      <c r="L478" s="100" t="n"/>
    </row>
    <row r="479" ht="15.75" customHeight="1" s="158">
      <c r="K479" s="100" t="n"/>
      <c r="L479" s="100" t="n"/>
    </row>
    <row r="480" ht="15.75" customHeight="1" s="158">
      <c r="K480" s="100" t="n"/>
      <c r="L480" s="100" t="n"/>
    </row>
    <row r="481" ht="15.75" customHeight="1" s="158">
      <c r="K481" s="100" t="n"/>
      <c r="L481" s="100" t="n"/>
    </row>
    <row r="482" ht="15.75" customHeight="1" s="158">
      <c r="K482" s="100" t="n"/>
      <c r="L482" s="100" t="n"/>
    </row>
    <row r="483" ht="15.75" customHeight="1" s="158">
      <c r="K483" s="100" t="n"/>
      <c r="L483" s="100" t="n"/>
    </row>
    <row r="484" ht="15.75" customHeight="1" s="158">
      <c r="K484" s="100" t="n"/>
      <c r="L484" s="100" t="n"/>
    </row>
    <row r="485" ht="15.75" customHeight="1" s="158">
      <c r="K485" s="100" t="n"/>
      <c r="L485" s="100" t="n"/>
    </row>
    <row r="486" ht="15.75" customHeight="1" s="158">
      <c r="K486" s="100" t="n"/>
      <c r="L486" s="100" t="n"/>
    </row>
    <row r="487" ht="15.75" customHeight="1" s="158">
      <c r="K487" s="100" t="n"/>
      <c r="L487" s="100" t="n"/>
    </row>
    <row r="488" ht="15.75" customHeight="1" s="158">
      <c r="K488" s="100" t="n"/>
      <c r="L488" s="100" t="n"/>
    </row>
    <row r="489" ht="15.75" customHeight="1" s="158">
      <c r="K489" s="100" t="n"/>
      <c r="L489" s="100" t="n"/>
    </row>
    <row r="490" ht="15.75" customHeight="1" s="158">
      <c r="K490" s="100" t="n"/>
      <c r="L490" s="100" t="n"/>
    </row>
    <row r="491" ht="15.75" customHeight="1" s="158">
      <c r="K491" s="100" t="n"/>
      <c r="L491" s="100" t="n"/>
    </row>
    <row r="492" ht="15.75" customHeight="1" s="158">
      <c r="K492" s="100" t="n"/>
      <c r="L492" s="100" t="n"/>
    </row>
    <row r="493" ht="15.75" customHeight="1" s="158">
      <c r="K493" s="100" t="n"/>
      <c r="L493" s="100" t="n"/>
    </row>
    <row r="494" ht="15.75" customHeight="1" s="158">
      <c r="K494" s="100" t="n"/>
      <c r="L494" s="100" t="n"/>
    </row>
    <row r="495" ht="15.75" customHeight="1" s="158">
      <c r="K495" s="100" t="n"/>
      <c r="L495" s="100" t="n"/>
    </row>
    <row r="496" ht="15.75" customHeight="1" s="158">
      <c r="K496" s="100" t="n"/>
      <c r="L496" s="100" t="n"/>
    </row>
    <row r="497" ht="15.75" customHeight="1" s="158">
      <c r="K497" s="100" t="n"/>
      <c r="L497" s="100" t="n"/>
    </row>
    <row r="498" ht="15.75" customHeight="1" s="158">
      <c r="K498" s="100" t="n"/>
      <c r="L498" s="100" t="n"/>
    </row>
    <row r="499" ht="15.75" customHeight="1" s="158">
      <c r="K499" s="100" t="n"/>
      <c r="L499" s="100" t="n"/>
    </row>
    <row r="500" ht="15.75" customHeight="1" s="158">
      <c r="K500" s="100" t="n"/>
      <c r="L500" s="100" t="n"/>
    </row>
    <row r="501" ht="15.75" customHeight="1" s="158">
      <c r="K501" s="100" t="n"/>
      <c r="L501" s="100" t="n"/>
    </row>
    <row r="502" ht="15.75" customHeight="1" s="158">
      <c r="K502" s="100" t="n"/>
      <c r="L502" s="100" t="n"/>
    </row>
    <row r="503" ht="15.75" customHeight="1" s="158">
      <c r="K503" s="100" t="n"/>
      <c r="L503" s="100" t="n"/>
    </row>
    <row r="504" ht="15.75" customHeight="1" s="158">
      <c r="K504" s="100" t="n"/>
      <c r="L504" s="100" t="n"/>
    </row>
    <row r="505" ht="15.75" customHeight="1" s="158">
      <c r="K505" s="100" t="n"/>
      <c r="L505" s="100" t="n"/>
    </row>
    <row r="506" ht="15.75" customHeight="1" s="158">
      <c r="K506" s="100" t="n"/>
      <c r="L506" s="100" t="n"/>
    </row>
    <row r="507" ht="15.75" customHeight="1" s="158">
      <c r="K507" s="100" t="n"/>
      <c r="L507" s="100" t="n"/>
    </row>
    <row r="508" ht="15.75" customHeight="1" s="158">
      <c r="K508" s="100" t="n"/>
      <c r="L508" s="100" t="n"/>
    </row>
    <row r="509" ht="15.75" customHeight="1" s="158">
      <c r="K509" s="100" t="n"/>
      <c r="L509" s="100" t="n"/>
    </row>
    <row r="510" ht="15.75" customHeight="1" s="158">
      <c r="K510" s="100" t="n"/>
      <c r="L510" s="100" t="n"/>
    </row>
    <row r="511" ht="15.75" customHeight="1" s="158">
      <c r="K511" s="100" t="n"/>
      <c r="L511" s="100" t="n"/>
    </row>
    <row r="512" ht="15.75" customHeight="1" s="158">
      <c r="K512" s="100" t="n"/>
      <c r="L512" s="100" t="n"/>
    </row>
    <row r="513" ht="15.75" customHeight="1" s="158">
      <c r="K513" s="100" t="n"/>
      <c r="L513" s="100" t="n"/>
    </row>
    <row r="514" ht="15.75" customHeight="1" s="158">
      <c r="K514" s="100" t="n"/>
      <c r="L514" s="100" t="n"/>
    </row>
    <row r="515" ht="15.75" customHeight="1" s="158">
      <c r="K515" s="100" t="n"/>
      <c r="L515" s="100" t="n"/>
    </row>
    <row r="516" ht="15.75" customHeight="1" s="158">
      <c r="K516" s="100" t="n"/>
      <c r="L516" s="100" t="n"/>
    </row>
    <row r="517" ht="15.75" customHeight="1" s="158">
      <c r="K517" s="100" t="n"/>
      <c r="L517" s="100" t="n"/>
    </row>
    <row r="518" ht="15.75" customHeight="1" s="158">
      <c r="K518" s="100" t="n"/>
      <c r="L518" s="100" t="n"/>
    </row>
    <row r="519" ht="15.75" customHeight="1" s="158">
      <c r="K519" s="100" t="n"/>
      <c r="L519" s="100" t="n"/>
    </row>
    <row r="520" ht="15.75" customHeight="1" s="158">
      <c r="K520" s="100" t="n"/>
      <c r="L520" s="100" t="n"/>
    </row>
    <row r="521" ht="15.75" customHeight="1" s="158">
      <c r="K521" s="100" t="n"/>
      <c r="L521" s="100" t="n"/>
    </row>
    <row r="522" ht="15.75" customHeight="1" s="158">
      <c r="K522" s="100" t="n"/>
      <c r="L522" s="100" t="n"/>
    </row>
    <row r="523" ht="15.75" customHeight="1" s="158">
      <c r="K523" s="100" t="n"/>
      <c r="L523" s="100" t="n"/>
    </row>
    <row r="524" ht="15.75" customHeight="1" s="158">
      <c r="K524" s="100" t="n"/>
      <c r="L524" s="100" t="n"/>
    </row>
    <row r="525" ht="15.75" customHeight="1" s="158">
      <c r="K525" s="100" t="n"/>
      <c r="L525" s="100" t="n"/>
    </row>
    <row r="526" ht="15.75" customHeight="1" s="158">
      <c r="K526" s="100" t="n"/>
      <c r="L526" s="100" t="n"/>
    </row>
    <row r="527" ht="15.75" customHeight="1" s="158">
      <c r="K527" s="100" t="n"/>
      <c r="L527" s="100" t="n"/>
    </row>
    <row r="528" ht="15.75" customHeight="1" s="158">
      <c r="K528" s="100" t="n"/>
      <c r="L528" s="100" t="n"/>
    </row>
    <row r="529" ht="15.75" customHeight="1" s="158">
      <c r="K529" s="100" t="n"/>
      <c r="L529" s="100" t="n"/>
    </row>
    <row r="530" ht="15.75" customHeight="1" s="158">
      <c r="K530" s="100" t="n"/>
      <c r="L530" s="100" t="n"/>
    </row>
    <row r="531" ht="15.75" customHeight="1" s="158">
      <c r="K531" s="100" t="n"/>
      <c r="L531" s="100" t="n"/>
    </row>
    <row r="532" ht="15.75" customHeight="1" s="158">
      <c r="K532" s="100" t="n"/>
      <c r="L532" s="100" t="n"/>
    </row>
    <row r="533" ht="15.75" customHeight="1" s="158">
      <c r="K533" s="100" t="n"/>
      <c r="L533" s="100" t="n"/>
    </row>
    <row r="534" ht="15.75" customHeight="1" s="158">
      <c r="K534" s="100" t="n"/>
      <c r="L534" s="100" t="n"/>
    </row>
    <row r="535" ht="15.75" customHeight="1" s="158">
      <c r="K535" s="100" t="n"/>
      <c r="L535" s="100" t="n"/>
    </row>
    <row r="536" ht="15.75" customHeight="1" s="158">
      <c r="K536" s="100" t="n"/>
      <c r="L536" s="100" t="n"/>
    </row>
    <row r="537" ht="15.75" customHeight="1" s="158">
      <c r="K537" s="100" t="n"/>
      <c r="L537" s="100" t="n"/>
    </row>
    <row r="538" ht="15.75" customHeight="1" s="158">
      <c r="K538" s="100" t="n"/>
      <c r="L538" s="100" t="n"/>
    </row>
    <row r="539" ht="15.75" customHeight="1" s="158">
      <c r="K539" s="100" t="n"/>
      <c r="L539" s="100" t="n"/>
    </row>
    <row r="540" ht="15.75" customHeight="1" s="158">
      <c r="K540" s="100" t="n"/>
      <c r="L540" s="100" t="n"/>
    </row>
    <row r="541" ht="15.75" customHeight="1" s="158">
      <c r="K541" s="100" t="n"/>
      <c r="L541" s="100" t="n"/>
    </row>
    <row r="542" ht="15.75" customHeight="1" s="158">
      <c r="K542" s="100" t="n"/>
      <c r="L542" s="100" t="n"/>
    </row>
    <row r="543" ht="15.75" customHeight="1" s="158">
      <c r="K543" s="100" t="n"/>
      <c r="L543" s="100" t="n"/>
    </row>
    <row r="544" ht="15.75" customHeight="1" s="158">
      <c r="K544" s="100" t="n"/>
      <c r="L544" s="100" t="n"/>
    </row>
    <row r="545" ht="15.75" customHeight="1" s="158">
      <c r="K545" s="100" t="n"/>
      <c r="L545" s="100" t="n"/>
    </row>
    <row r="546" ht="15.75" customHeight="1" s="158">
      <c r="K546" s="100" t="n"/>
      <c r="L546" s="100" t="n"/>
    </row>
    <row r="547" ht="15.75" customHeight="1" s="158">
      <c r="K547" s="100" t="n"/>
      <c r="L547" s="100" t="n"/>
    </row>
    <row r="548" ht="15.75" customHeight="1" s="158">
      <c r="K548" s="100" t="n"/>
      <c r="L548" s="100" t="n"/>
    </row>
    <row r="549" ht="15.75" customHeight="1" s="158">
      <c r="K549" s="100" t="n"/>
      <c r="L549" s="100" t="n"/>
    </row>
    <row r="550" ht="15.75" customHeight="1" s="158">
      <c r="K550" s="100" t="n"/>
      <c r="L550" s="100" t="n"/>
    </row>
    <row r="551" ht="15.75" customHeight="1" s="158">
      <c r="K551" s="100" t="n"/>
      <c r="L551" s="100" t="n"/>
    </row>
    <row r="552" ht="15.75" customHeight="1" s="158">
      <c r="K552" s="100" t="n"/>
      <c r="L552" s="100" t="n"/>
    </row>
    <row r="553" ht="15.75" customHeight="1" s="158">
      <c r="K553" s="100" t="n"/>
      <c r="L553" s="100" t="n"/>
    </row>
    <row r="554" ht="15.75" customHeight="1" s="158">
      <c r="K554" s="100" t="n"/>
      <c r="L554" s="100" t="n"/>
    </row>
    <row r="555" ht="15.75" customHeight="1" s="158">
      <c r="K555" s="100" t="n"/>
      <c r="L555" s="100" t="n"/>
    </row>
    <row r="556" ht="15.75" customHeight="1" s="158">
      <c r="K556" s="100" t="n"/>
      <c r="L556" s="100" t="n"/>
    </row>
    <row r="557" ht="15.75" customHeight="1" s="158">
      <c r="K557" s="100" t="n"/>
      <c r="L557" s="100" t="n"/>
    </row>
    <row r="558" ht="15.75" customHeight="1" s="158">
      <c r="K558" s="100" t="n"/>
      <c r="L558" s="100" t="n"/>
    </row>
    <row r="559" ht="15.75" customHeight="1" s="158">
      <c r="K559" s="100" t="n"/>
      <c r="L559" s="100" t="n"/>
    </row>
    <row r="560" ht="15.75" customHeight="1" s="158">
      <c r="K560" s="100" t="n"/>
      <c r="L560" s="100" t="n"/>
    </row>
    <row r="561" ht="15.75" customHeight="1" s="158">
      <c r="K561" s="100" t="n"/>
      <c r="L561" s="100" t="n"/>
    </row>
    <row r="562" ht="15.75" customHeight="1" s="158">
      <c r="K562" s="100" t="n"/>
      <c r="L562" s="100" t="n"/>
    </row>
    <row r="563" ht="15.75" customHeight="1" s="158">
      <c r="K563" s="100" t="n"/>
      <c r="L563" s="100" t="n"/>
    </row>
    <row r="564" ht="15.75" customHeight="1" s="158">
      <c r="K564" s="100" t="n"/>
      <c r="L564" s="100" t="n"/>
    </row>
    <row r="565" ht="15.75" customHeight="1" s="158">
      <c r="K565" s="100" t="n"/>
      <c r="L565" s="100" t="n"/>
    </row>
    <row r="566" ht="15.75" customHeight="1" s="158">
      <c r="K566" s="100" t="n"/>
      <c r="L566" s="100" t="n"/>
    </row>
    <row r="567" ht="15.75" customHeight="1" s="158">
      <c r="K567" s="100" t="n"/>
      <c r="L567" s="100" t="n"/>
    </row>
    <row r="568" ht="15.75" customHeight="1" s="158">
      <c r="K568" s="100" t="n"/>
      <c r="L568" s="100" t="n"/>
    </row>
    <row r="569" ht="15.75" customHeight="1" s="158">
      <c r="K569" s="100" t="n"/>
      <c r="L569" s="100" t="n"/>
    </row>
    <row r="570" ht="15.75" customHeight="1" s="158">
      <c r="K570" s="100" t="n"/>
      <c r="L570" s="100" t="n"/>
    </row>
    <row r="571" ht="15.75" customHeight="1" s="158">
      <c r="K571" s="100" t="n"/>
      <c r="L571" s="100" t="n"/>
    </row>
    <row r="572" ht="15.75" customHeight="1" s="158">
      <c r="K572" s="100" t="n"/>
      <c r="L572" s="100" t="n"/>
    </row>
    <row r="573" ht="15.75" customHeight="1" s="158">
      <c r="K573" s="100" t="n"/>
      <c r="L573" s="100" t="n"/>
    </row>
    <row r="574" ht="15.75" customHeight="1" s="158">
      <c r="K574" s="100" t="n"/>
      <c r="L574" s="100" t="n"/>
    </row>
    <row r="575" ht="15.75" customHeight="1" s="158">
      <c r="K575" s="100" t="n"/>
      <c r="L575" s="100" t="n"/>
    </row>
    <row r="576" ht="15.75" customHeight="1" s="158">
      <c r="K576" s="100" t="n"/>
      <c r="L576" s="100" t="n"/>
    </row>
    <row r="577" ht="15.75" customHeight="1" s="158">
      <c r="K577" s="100" t="n"/>
      <c r="L577" s="100" t="n"/>
    </row>
    <row r="578" ht="15.75" customHeight="1" s="158">
      <c r="K578" s="100" t="n"/>
      <c r="L578" s="100" t="n"/>
    </row>
    <row r="579" ht="15.75" customHeight="1" s="158">
      <c r="K579" s="100" t="n"/>
      <c r="L579" s="100" t="n"/>
    </row>
    <row r="580" ht="15.75" customHeight="1" s="158">
      <c r="K580" s="100" t="n"/>
      <c r="L580" s="100" t="n"/>
    </row>
    <row r="581" ht="15.75" customHeight="1" s="158">
      <c r="K581" s="100" t="n"/>
      <c r="L581" s="100" t="n"/>
    </row>
    <row r="582" ht="15.75" customHeight="1" s="158">
      <c r="K582" s="100" t="n"/>
      <c r="L582" s="100" t="n"/>
    </row>
    <row r="583" ht="15.75" customHeight="1" s="158">
      <c r="K583" s="100" t="n"/>
      <c r="L583" s="100" t="n"/>
    </row>
    <row r="584" ht="15.75" customHeight="1" s="158">
      <c r="K584" s="100" t="n"/>
      <c r="L584" s="100" t="n"/>
    </row>
    <row r="585" ht="15.75" customHeight="1" s="158">
      <c r="K585" s="100" t="n"/>
      <c r="L585" s="100" t="n"/>
    </row>
    <row r="586" ht="15.75" customHeight="1" s="158">
      <c r="K586" s="100" t="n"/>
      <c r="L586" s="100" t="n"/>
    </row>
    <row r="587" ht="15.75" customHeight="1" s="158">
      <c r="K587" s="100" t="n"/>
      <c r="L587" s="100" t="n"/>
    </row>
    <row r="588" ht="15.75" customHeight="1" s="158">
      <c r="K588" s="100" t="n"/>
      <c r="L588" s="100" t="n"/>
    </row>
    <row r="589" ht="15.75" customHeight="1" s="158">
      <c r="K589" s="100" t="n"/>
      <c r="L589" s="100" t="n"/>
    </row>
    <row r="590" ht="15.75" customHeight="1" s="158">
      <c r="K590" s="100" t="n"/>
      <c r="L590" s="100" t="n"/>
    </row>
    <row r="591" ht="15.75" customHeight="1" s="158">
      <c r="K591" s="100" t="n"/>
      <c r="L591" s="100" t="n"/>
    </row>
    <row r="592" ht="15.75" customHeight="1" s="158">
      <c r="K592" s="100" t="n"/>
      <c r="L592" s="100" t="n"/>
    </row>
    <row r="593" ht="15.75" customHeight="1" s="158">
      <c r="K593" s="100" t="n"/>
      <c r="L593" s="100" t="n"/>
    </row>
    <row r="594" ht="15.75" customHeight="1" s="158">
      <c r="K594" s="100" t="n"/>
      <c r="L594" s="100" t="n"/>
    </row>
    <row r="595" ht="15.75" customHeight="1" s="158">
      <c r="K595" s="100" t="n"/>
      <c r="L595" s="100" t="n"/>
    </row>
    <row r="596" ht="15.75" customHeight="1" s="158">
      <c r="K596" s="100" t="n"/>
      <c r="L596" s="100" t="n"/>
    </row>
    <row r="597" ht="15.75" customHeight="1" s="158">
      <c r="K597" s="100" t="n"/>
      <c r="L597" s="100" t="n"/>
    </row>
    <row r="598" ht="15.75" customHeight="1" s="158">
      <c r="K598" s="100" t="n"/>
      <c r="L598" s="100" t="n"/>
    </row>
    <row r="599" ht="15.75" customHeight="1" s="158">
      <c r="K599" s="100" t="n"/>
      <c r="L599" s="100" t="n"/>
    </row>
    <row r="600" ht="15.75" customHeight="1" s="158">
      <c r="K600" s="100" t="n"/>
      <c r="L600" s="100" t="n"/>
    </row>
    <row r="601" ht="15.75" customHeight="1" s="158">
      <c r="K601" s="100" t="n"/>
      <c r="L601" s="100" t="n"/>
    </row>
    <row r="602" ht="15.75" customHeight="1" s="158">
      <c r="K602" s="100" t="n"/>
      <c r="L602" s="100" t="n"/>
    </row>
    <row r="603" ht="15.75" customHeight="1" s="158">
      <c r="K603" s="100" t="n"/>
      <c r="L603" s="100" t="n"/>
    </row>
    <row r="604" ht="15.75" customHeight="1" s="158">
      <c r="K604" s="100" t="n"/>
      <c r="L604" s="100" t="n"/>
    </row>
    <row r="605" ht="15.75" customHeight="1" s="158">
      <c r="K605" s="100" t="n"/>
      <c r="L605" s="100" t="n"/>
    </row>
    <row r="606" ht="15.75" customHeight="1" s="158">
      <c r="K606" s="100" t="n"/>
      <c r="L606" s="100" t="n"/>
    </row>
    <row r="607" ht="15.75" customHeight="1" s="158">
      <c r="K607" s="100" t="n"/>
      <c r="L607" s="100" t="n"/>
    </row>
    <row r="608" ht="15.75" customHeight="1" s="158">
      <c r="K608" s="100" t="n"/>
      <c r="L608" s="100" t="n"/>
    </row>
    <row r="609" ht="15.75" customHeight="1" s="158">
      <c r="K609" s="100" t="n"/>
      <c r="L609" s="100" t="n"/>
    </row>
    <row r="610" ht="15.75" customHeight="1" s="158">
      <c r="K610" s="100" t="n"/>
      <c r="L610" s="100" t="n"/>
    </row>
    <row r="611" ht="15.75" customHeight="1" s="158">
      <c r="K611" s="100" t="n"/>
      <c r="L611" s="100" t="n"/>
    </row>
    <row r="612" ht="15.75" customHeight="1" s="158">
      <c r="K612" s="100" t="n"/>
      <c r="L612" s="100" t="n"/>
    </row>
    <row r="613" ht="15.75" customHeight="1" s="158">
      <c r="K613" s="100" t="n"/>
      <c r="L613" s="100" t="n"/>
    </row>
    <row r="614" ht="15.75" customHeight="1" s="158">
      <c r="K614" s="100" t="n"/>
      <c r="L614" s="100" t="n"/>
    </row>
    <row r="615" ht="15.75" customHeight="1" s="158">
      <c r="K615" s="100" t="n"/>
      <c r="L615" s="100" t="n"/>
    </row>
    <row r="616" ht="15.75" customHeight="1" s="158">
      <c r="K616" s="100" t="n"/>
      <c r="L616" s="100" t="n"/>
    </row>
    <row r="617" ht="15.75" customHeight="1" s="158">
      <c r="K617" s="100" t="n"/>
      <c r="L617" s="100" t="n"/>
    </row>
    <row r="618" ht="15.75" customHeight="1" s="158">
      <c r="K618" s="100" t="n"/>
      <c r="L618" s="100" t="n"/>
    </row>
    <row r="619" ht="15.75" customHeight="1" s="158">
      <c r="K619" s="100" t="n"/>
      <c r="L619" s="100" t="n"/>
    </row>
    <row r="620" ht="15.75" customHeight="1" s="158">
      <c r="K620" s="100" t="n"/>
      <c r="L620" s="100" t="n"/>
    </row>
    <row r="621" ht="15.75" customHeight="1" s="158">
      <c r="K621" s="100" t="n"/>
      <c r="L621" s="100" t="n"/>
    </row>
    <row r="622" ht="15.75" customHeight="1" s="158">
      <c r="K622" s="100" t="n"/>
      <c r="L622" s="100" t="n"/>
    </row>
    <row r="623" ht="15.75" customHeight="1" s="158">
      <c r="K623" s="100" t="n"/>
      <c r="L623" s="100" t="n"/>
    </row>
    <row r="624" ht="15.75" customHeight="1" s="158">
      <c r="K624" s="100" t="n"/>
      <c r="L624" s="100" t="n"/>
    </row>
    <row r="625" ht="15.75" customHeight="1" s="158">
      <c r="K625" s="100" t="n"/>
      <c r="L625" s="100" t="n"/>
    </row>
    <row r="626" ht="15.75" customHeight="1" s="158">
      <c r="K626" s="100" t="n"/>
      <c r="L626" s="100" t="n"/>
    </row>
    <row r="627" ht="15.75" customHeight="1" s="158">
      <c r="K627" s="100" t="n"/>
      <c r="L627" s="100" t="n"/>
    </row>
    <row r="628" ht="15.75" customHeight="1" s="158">
      <c r="K628" s="100" t="n"/>
      <c r="L628" s="100" t="n"/>
    </row>
    <row r="629" ht="15.75" customHeight="1" s="158">
      <c r="K629" s="100" t="n"/>
      <c r="L629" s="100" t="n"/>
    </row>
    <row r="630" ht="15.75" customHeight="1" s="158">
      <c r="K630" s="100" t="n"/>
      <c r="L630" s="100" t="n"/>
    </row>
    <row r="631" ht="15.75" customHeight="1" s="158">
      <c r="K631" s="100" t="n"/>
      <c r="L631" s="100" t="n"/>
    </row>
    <row r="632" ht="15.75" customHeight="1" s="158">
      <c r="K632" s="100" t="n"/>
      <c r="L632" s="100" t="n"/>
    </row>
    <row r="633" ht="15.75" customHeight="1" s="158">
      <c r="K633" s="100" t="n"/>
      <c r="L633" s="100" t="n"/>
    </row>
    <row r="634" ht="15.75" customHeight="1" s="158">
      <c r="K634" s="100" t="n"/>
      <c r="L634" s="100" t="n"/>
    </row>
    <row r="635" ht="15.75" customHeight="1" s="158">
      <c r="K635" s="100" t="n"/>
      <c r="L635" s="100" t="n"/>
    </row>
    <row r="636" ht="15.75" customHeight="1" s="158">
      <c r="K636" s="100" t="n"/>
      <c r="L636" s="100" t="n"/>
    </row>
    <row r="637" ht="15.75" customHeight="1" s="158">
      <c r="K637" s="100" t="n"/>
      <c r="L637" s="100" t="n"/>
    </row>
    <row r="638" ht="15.75" customHeight="1" s="158">
      <c r="K638" s="100" t="n"/>
      <c r="L638" s="100" t="n"/>
    </row>
    <row r="639" ht="15.75" customHeight="1" s="158">
      <c r="K639" s="100" t="n"/>
      <c r="L639" s="100" t="n"/>
    </row>
    <row r="640" ht="15.75" customHeight="1" s="158">
      <c r="K640" s="100" t="n"/>
      <c r="L640" s="100" t="n"/>
    </row>
    <row r="641" ht="15.75" customHeight="1" s="158">
      <c r="K641" s="100" t="n"/>
      <c r="L641" s="100" t="n"/>
    </row>
    <row r="642" ht="15.75" customHeight="1" s="158">
      <c r="K642" s="100" t="n"/>
      <c r="L642" s="100" t="n"/>
    </row>
    <row r="643" ht="15.75" customHeight="1" s="158">
      <c r="K643" s="100" t="n"/>
      <c r="L643" s="100" t="n"/>
    </row>
    <row r="644" ht="15.75" customHeight="1" s="158">
      <c r="K644" s="100" t="n"/>
      <c r="L644" s="100" t="n"/>
    </row>
    <row r="645" ht="15.75" customHeight="1" s="158">
      <c r="K645" s="100" t="n"/>
      <c r="L645" s="100" t="n"/>
    </row>
    <row r="646" ht="15.75" customHeight="1" s="158">
      <c r="K646" s="100" t="n"/>
      <c r="L646" s="100" t="n"/>
    </row>
    <row r="647" ht="15.75" customHeight="1" s="158">
      <c r="K647" s="100" t="n"/>
      <c r="L647" s="100" t="n"/>
    </row>
    <row r="648" ht="15.75" customHeight="1" s="158">
      <c r="K648" s="100" t="n"/>
      <c r="L648" s="100" t="n"/>
    </row>
    <row r="649" ht="15.75" customHeight="1" s="158">
      <c r="K649" s="100" t="n"/>
      <c r="L649" s="100" t="n"/>
    </row>
    <row r="650" ht="15.75" customHeight="1" s="158">
      <c r="K650" s="100" t="n"/>
      <c r="L650" s="100" t="n"/>
    </row>
    <row r="651" ht="15.75" customHeight="1" s="158">
      <c r="K651" s="100" t="n"/>
      <c r="L651" s="100" t="n"/>
    </row>
    <row r="652" ht="15.75" customHeight="1" s="158">
      <c r="K652" s="100" t="n"/>
      <c r="L652" s="100" t="n"/>
    </row>
    <row r="653" ht="15.75" customHeight="1" s="158">
      <c r="K653" s="100" t="n"/>
      <c r="L653" s="100" t="n"/>
    </row>
    <row r="654" ht="15.75" customHeight="1" s="158">
      <c r="K654" s="100" t="n"/>
      <c r="L654" s="100" t="n"/>
    </row>
    <row r="655" ht="15.75" customHeight="1" s="158">
      <c r="K655" s="100" t="n"/>
      <c r="L655" s="100" t="n"/>
    </row>
    <row r="656" ht="15.75" customHeight="1" s="158">
      <c r="K656" s="100" t="n"/>
      <c r="L656" s="100" t="n"/>
    </row>
    <row r="657" ht="15.75" customHeight="1" s="158">
      <c r="K657" s="100" t="n"/>
      <c r="L657" s="100" t="n"/>
    </row>
    <row r="658" ht="15.75" customHeight="1" s="158">
      <c r="K658" s="100" t="n"/>
      <c r="L658" s="100" t="n"/>
    </row>
    <row r="659" ht="15.75" customHeight="1" s="158">
      <c r="K659" s="100" t="n"/>
      <c r="L659" s="100" t="n"/>
    </row>
    <row r="660" ht="15.75" customHeight="1" s="158">
      <c r="K660" s="100" t="n"/>
      <c r="L660" s="100" t="n"/>
    </row>
    <row r="661" ht="15.75" customHeight="1" s="158">
      <c r="K661" s="100" t="n"/>
      <c r="L661" s="100" t="n"/>
    </row>
    <row r="662" ht="15.75" customHeight="1" s="158">
      <c r="K662" s="100" t="n"/>
      <c r="L662" s="100" t="n"/>
    </row>
    <row r="663" ht="15.75" customHeight="1" s="158">
      <c r="K663" s="100" t="n"/>
      <c r="L663" s="100" t="n"/>
    </row>
    <row r="664" ht="15.75" customHeight="1" s="158">
      <c r="K664" s="100" t="n"/>
      <c r="L664" s="100" t="n"/>
    </row>
    <row r="665" ht="15.75" customHeight="1" s="158">
      <c r="K665" s="100" t="n"/>
      <c r="L665" s="100" t="n"/>
    </row>
    <row r="666" ht="15.75" customHeight="1" s="158">
      <c r="K666" s="100" t="n"/>
      <c r="L666" s="100" t="n"/>
    </row>
    <row r="667" ht="15.75" customHeight="1" s="158">
      <c r="K667" s="100" t="n"/>
      <c r="L667" s="100" t="n"/>
    </row>
    <row r="668" ht="15.75" customHeight="1" s="158">
      <c r="K668" s="100" t="n"/>
      <c r="L668" s="100" t="n"/>
    </row>
    <row r="669" ht="15.75" customHeight="1" s="158">
      <c r="K669" s="100" t="n"/>
      <c r="L669" s="100" t="n"/>
    </row>
    <row r="670" ht="15.75" customHeight="1" s="158">
      <c r="K670" s="100" t="n"/>
      <c r="L670" s="100" t="n"/>
    </row>
    <row r="671" ht="15.75" customHeight="1" s="158">
      <c r="K671" s="100" t="n"/>
      <c r="L671" s="100" t="n"/>
    </row>
    <row r="672" ht="15.75" customHeight="1" s="158">
      <c r="K672" s="100" t="n"/>
      <c r="L672" s="100" t="n"/>
    </row>
    <row r="673" ht="15.75" customHeight="1" s="158">
      <c r="K673" s="100" t="n"/>
      <c r="L673" s="100" t="n"/>
    </row>
    <row r="674" ht="15.75" customHeight="1" s="158">
      <c r="K674" s="100" t="n"/>
      <c r="L674" s="100" t="n"/>
    </row>
    <row r="675" ht="15.75" customHeight="1" s="158">
      <c r="K675" s="100" t="n"/>
      <c r="L675" s="100" t="n"/>
    </row>
    <row r="676" ht="15.75" customHeight="1" s="158">
      <c r="K676" s="100" t="n"/>
      <c r="L676" s="100" t="n"/>
    </row>
    <row r="677" ht="15.75" customHeight="1" s="158">
      <c r="K677" s="100" t="n"/>
      <c r="L677" s="100" t="n"/>
    </row>
    <row r="678" ht="15.75" customHeight="1" s="158">
      <c r="K678" s="100" t="n"/>
      <c r="L678" s="100" t="n"/>
    </row>
    <row r="679" ht="15.75" customHeight="1" s="158">
      <c r="K679" s="100" t="n"/>
      <c r="L679" s="100" t="n"/>
    </row>
    <row r="680" ht="15.75" customHeight="1" s="158">
      <c r="K680" s="100" t="n"/>
      <c r="L680" s="100" t="n"/>
    </row>
    <row r="681" ht="15.75" customHeight="1" s="158">
      <c r="K681" s="100" t="n"/>
      <c r="L681" s="100" t="n"/>
    </row>
    <row r="682" ht="15.75" customHeight="1" s="158">
      <c r="K682" s="100" t="n"/>
      <c r="L682" s="100" t="n"/>
    </row>
    <row r="683" ht="15.75" customHeight="1" s="158">
      <c r="K683" s="100" t="n"/>
      <c r="L683" s="100" t="n"/>
    </row>
    <row r="684" ht="15.75" customHeight="1" s="158">
      <c r="K684" s="100" t="n"/>
      <c r="L684" s="100" t="n"/>
    </row>
    <row r="685" ht="15.75" customHeight="1" s="158">
      <c r="K685" s="100" t="n"/>
      <c r="L685" s="100" t="n"/>
    </row>
    <row r="686" ht="15.75" customHeight="1" s="158">
      <c r="K686" s="100" t="n"/>
      <c r="L686" s="100" t="n"/>
    </row>
    <row r="687" ht="15.75" customHeight="1" s="158">
      <c r="K687" s="100" t="n"/>
      <c r="L687" s="100" t="n"/>
    </row>
    <row r="688" ht="15.75" customHeight="1" s="158">
      <c r="K688" s="100" t="n"/>
      <c r="L688" s="100" t="n"/>
    </row>
    <row r="689" ht="15.75" customHeight="1" s="158">
      <c r="K689" s="100" t="n"/>
      <c r="L689" s="100" t="n"/>
    </row>
    <row r="690" ht="15.75" customHeight="1" s="158">
      <c r="K690" s="100" t="n"/>
      <c r="L690" s="100" t="n"/>
    </row>
    <row r="691" ht="15.75" customHeight="1" s="158">
      <c r="K691" s="100" t="n"/>
      <c r="L691" s="100" t="n"/>
    </row>
    <row r="692" ht="15.75" customHeight="1" s="158">
      <c r="K692" s="100" t="n"/>
      <c r="L692" s="100" t="n"/>
    </row>
    <row r="693" ht="15.75" customHeight="1" s="158">
      <c r="K693" s="100" t="n"/>
      <c r="L693" s="100" t="n"/>
    </row>
    <row r="694" ht="15.75" customHeight="1" s="158">
      <c r="K694" s="100" t="n"/>
      <c r="L694" s="100" t="n"/>
    </row>
    <row r="695" ht="15.75" customHeight="1" s="158">
      <c r="K695" s="100" t="n"/>
      <c r="L695" s="100" t="n"/>
    </row>
    <row r="696" ht="15.75" customHeight="1" s="158">
      <c r="K696" s="100" t="n"/>
      <c r="L696" s="100" t="n"/>
    </row>
    <row r="697" ht="15.75" customHeight="1" s="158">
      <c r="K697" s="100" t="n"/>
      <c r="L697" s="100" t="n"/>
    </row>
    <row r="698" ht="15.75" customHeight="1" s="158">
      <c r="K698" s="100" t="n"/>
      <c r="L698" s="100" t="n"/>
    </row>
    <row r="699" ht="15.75" customHeight="1" s="158">
      <c r="K699" s="100" t="n"/>
      <c r="L699" s="100" t="n"/>
    </row>
    <row r="700" ht="15.75" customHeight="1" s="158">
      <c r="K700" s="100" t="n"/>
      <c r="L700" s="100" t="n"/>
    </row>
    <row r="701" ht="15.75" customHeight="1" s="158">
      <c r="K701" s="100" t="n"/>
      <c r="L701" s="100" t="n"/>
    </row>
    <row r="702" ht="15.75" customHeight="1" s="158">
      <c r="K702" s="100" t="n"/>
      <c r="L702" s="100" t="n"/>
    </row>
    <row r="703" ht="15.75" customHeight="1" s="158">
      <c r="K703" s="100" t="n"/>
      <c r="L703" s="100" t="n"/>
    </row>
    <row r="704" ht="15.75" customHeight="1" s="158">
      <c r="K704" s="100" t="n"/>
      <c r="L704" s="100" t="n"/>
    </row>
    <row r="705" ht="15.75" customHeight="1" s="158">
      <c r="K705" s="100" t="n"/>
      <c r="L705" s="100" t="n"/>
    </row>
    <row r="706" ht="15.75" customHeight="1" s="158">
      <c r="K706" s="100" t="n"/>
      <c r="L706" s="100" t="n"/>
    </row>
    <row r="707" ht="15.75" customHeight="1" s="158">
      <c r="K707" s="100" t="n"/>
      <c r="L707" s="100" t="n"/>
    </row>
    <row r="708" ht="15.75" customHeight="1" s="158">
      <c r="K708" s="100" t="n"/>
      <c r="L708" s="100" t="n"/>
    </row>
    <row r="709" ht="15.75" customHeight="1" s="158">
      <c r="K709" s="100" t="n"/>
      <c r="L709" s="100" t="n"/>
    </row>
    <row r="710" ht="15.75" customHeight="1" s="158">
      <c r="K710" s="100" t="n"/>
      <c r="L710" s="100" t="n"/>
    </row>
    <row r="711" ht="15.75" customHeight="1" s="158">
      <c r="K711" s="100" t="n"/>
      <c r="L711" s="100" t="n"/>
    </row>
    <row r="712" ht="15.75" customHeight="1" s="158">
      <c r="K712" s="100" t="n"/>
      <c r="L712" s="100" t="n"/>
    </row>
    <row r="713" ht="15.75" customHeight="1" s="158">
      <c r="K713" s="100" t="n"/>
      <c r="L713" s="100" t="n"/>
    </row>
    <row r="714" ht="15.75" customHeight="1" s="158">
      <c r="K714" s="100" t="n"/>
      <c r="L714" s="100" t="n"/>
    </row>
    <row r="715" ht="15.75" customHeight="1" s="158">
      <c r="K715" s="100" t="n"/>
      <c r="L715" s="100" t="n"/>
    </row>
    <row r="716" ht="15.75" customHeight="1" s="158">
      <c r="K716" s="100" t="n"/>
      <c r="L716" s="100" t="n"/>
    </row>
    <row r="717" ht="15.75" customHeight="1" s="158">
      <c r="K717" s="100" t="n"/>
      <c r="L717" s="100" t="n"/>
    </row>
    <row r="718" ht="15.75" customHeight="1" s="158">
      <c r="K718" s="100" t="n"/>
      <c r="L718" s="100" t="n"/>
    </row>
    <row r="719" ht="15.75" customHeight="1" s="158">
      <c r="K719" s="100" t="n"/>
      <c r="L719" s="100" t="n"/>
    </row>
    <row r="720" ht="15.75" customHeight="1" s="158">
      <c r="K720" s="100" t="n"/>
      <c r="L720" s="100" t="n"/>
    </row>
    <row r="721" ht="15.75" customHeight="1" s="158">
      <c r="K721" s="100" t="n"/>
      <c r="L721" s="100" t="n"/>
    </row>
    <row r="722" ht="15.75" customHeight="1" s="158">
      <c r="K722" s="100" t="n"/>
      <c r="L722" s="100" t="n"/>
    </row>
    <row r="723" ht="15.75" customHeight="1" s="158">
      <c r="K723" s="100" t="n"/>
      <c r="L723" s="100" t="n"/>
    </row>
    <row r="724" ht="15.75" customHeight="1" s="158">
      <c r="K724" s="100" t="n"/>
      <c r="L724" s="100" t="n"/>
    </row>
    <row r="725" ht="15.75" customHeight="1" s="158">
      <c r="K725" s="100" t="n"/>
      <c r="L725" s="100" t="n"/>
    </row>
    <row r="726" ht="15.75" customHeight="1" s="158">
      <c r="K726" s="100" t="n"/>
      <c r="L726" s="100" t="n"/>
    </row>
    <row r="727" ht="15.75" customHeight="1" s="158">
      <c r="K727" s="100" t="n"/>
      <c r="L727" s="100" t="n"/>
    </row>
    <row r="728" ht="15.75" customHeight="1" s="158">
      <c r="K728" s="100" t="n"/>
      <c r="L728" s="100" t="n"/>
    </row>
    <row r="729" ht="15.75" customHeight="1" s="158">
      <c r="K729" s="100" t="n"/>
      <c r="L729" s="100" t="n"/>
    </row>
    <row r="730" ht="15.75" customHeight="1" s="158">
      <c r="K730" s="100" t="n"/>
      <c r="L730" s="100" t="n"/>
    </row>
    <row r="731" ht="15.75" customHeight="1" s="158">
      <c r="K731" s="100" t="n"/>
      <c r="L731" s="100" t="n"/>
    </row>
    <row r="732" ht="15.75" customHeight="1" s="158">
      <c r="K732" s="100" t="n"/>
      <c r="L732" s="100" t="n"/>
    </row>
    <row r="733" ht="15.75" customHeight="1" s="158">
      <c r="K733" s="100" t="n"/>
      <c r="L733" s="100" t="n"/>
    </row>
    <row r="734" ht="15.75" customHeight="1" s="158">
      <c r="K734" s="100" t="n"/>
      <c r="L734" s="100" t="n"/>
    </row>
    <row r="735" ht="15.75" customHeight="1" s="158">
      <c r="K735" s="100" t="n"/>
      <c r="L735" s="100" t="n"/>
    </row>
    <row r="736" ht="15.75" customHeight="1" s="158">
      <c r="K736" s="100" t="n"/>
      <c r="L736" s="100" t="n"/>
    </row>
    <row r="737" ht="15.75" customHeight="1" s="158">
      <c r="K737" s="100" t="n"/>
      <c r="L737" s="100" t="n"/>
    </row>
    <row r="738" ht="15.75" customHeight="1" s="158">
      <c r="K738" s="100" t="n"/>
      <c r="L738" s="100" t="n"/>
    </row>
    <row r="739" ht="15.75" customHeight="1" s="158">
      <c r="K739" s="100" t="n"/>
      <c r="L739" s="100" t="n"/>
    </row>
    <row r="740" ht="15.75" customHeight="1" s="158">
      <c r="K740" s="100" t="n"/>
      <c r="L740" s="100" t="n"/>
    </row>
    <row r="741" ht="15.75" customHeight="1" s="158">
      <c r="K741" s="100" t="n"/>
      <c r="L741" s="100" t="n"/>
    </row>
    <row r="742" ht="15.75" customHeight="1" s="158">
      <c r="K742" s="100" t="n"/>
      <c r="L742" s="100" t="n"/>
    </row>
    <row r="743" ht="15.75" customHeight="1" s="158">
      <c r="K743" s="100" t="n"/>
      <c r="L743" s="100" t="n"/>
    </row>
    <row r="744" ht="15.75" customHeight="1" s="158">
      <c r="K744" s="100" t="n"/>
      <c r="L744" s="100" t="n"/>
    </row>
    <row r="745" ht="15.75" customHeight="1" s="158">
      <c r="K745" s="100" t="n"/>
      <c r="L745" s="100" t="n"/>
    </row>
    <row r="746" ht="15.75" customHeight="1" s="158">
      <c r="K746" s="100" t="n"/>
      <c r="L746" s="100" t="n"/>
    </row>
    <row r="747" ht="15.75" customHeight="1" s="158">
      <c r="K747" s="100" t="n"/>
      <c r="L747" s="100" t="n"/>
    </row>
    <row r="748" ht="15.75" customHeight="1" s="158">
      <c r="K748" s="100" t="n"/>
      <c r="L748" s="100" t="n"/>
    </row>
    <row r="749" ht="15.75" customHeight="1" s="158">
      <c r="K749" s="100" t="n"/>
      <c r="L749" s="100" t="n"/>
    </row>
    <row r="750" ht="15.75" customHeight="1" s="158">
      <c r="K750" s="100" t="n"/>
      <c r="L750" s="100" t="n"/>
    </row>
    <row r="751" ht="15.75" customHeight="1" s="158">
      <c r="K751" s="100" t="n"/>
      <c r="L751" s="100" t="n"/>
    </row>
    <row r="752" ht="15.75" customHeight="1" s="158">
      <c r="K752" s="100" t="n"/>
      <c r="L752" s="100" t="n"/>
    </row>
    <row r="753" ht="15.75" customHeight="1" s="158">
      <c r="K753" s="100" t="n"/>
      <c r="L753" s="100" t="n"/>
    </row>
    <row r="754" ht="15.75" customHeight="1" s="158">
      <c r="K754" s="100" t="n"/>
      <c r="L754" s="100" t="n"/>
    </row>
    <row r="755" ht="15.75" customHeight="1" s="158">
      <c r="K755" s="100" t="n"/>
      <c r="L755" s="100" t="n"/>
    </row>
    <row r="756" ht="15.75" customHeight="1" s="158">
      <c r="K756" s="100" t="n"/>
      <c r="L756" s="100" t="n"/>
    </row>
    <row r="757" ht="15.75" customHeight="1" s="158">
      <c r="K757" s="100" t="n"/>
      <c r="L757" s="100" t="n"/>
    </row>
    <row r="758" ht="15.75" customHeight="1" s="158">
      <c r="K758" s="100" t="n"/>
      <c r="L758" s="100" t="n"/>
    </row>
    <row r="759" ht="15.75" customHeight="1" s="158">
      <c r="K759" s="100" t="n"/>
      <c r="L759" s="100" t="n"/>
    </row>
    <row r="760" ht="15.75" customHeight="1" s="158">
      <c r="K760" s="100" t="n"/>
      <c r="L760" s="100" t="n"/>
    </row>
    <row r="761" ht="15.75" customHeight="1" s="158">
      <c r="K761" s="100" t="n"/>
      <c r="L761" s="100" t="n"/>
    </row>
    <row r="762" ht="15.75" customHeight="1" s="158">
      <c r="K762" s="100" t="n"/>
      <c r="L762" s="100" t="n"/>
    </row>
    <row r="763" ht="15.75" customHeight="1" s="158">
      <c r="K763" s="100" t="n"/>
      <c r="L763" s="100" t="n"/>
    </row>
    <row r="764" ht="15.75" customHeight="1" s="158">
      <c r="K764" s="100" t="n"/>
      <c r="L764" s="100" t="n"/>
    </row>
    <row r="765" ht="15.75" customHeight="1" s="158">
      <c r="K765" s="100" t="n"/>
      <c r="L765" s="100" t="n"/>
    </row>
    <row r="766" ht="15.75" customHeight="1" s="158">
      <c r="K766" s="100" t="n"/>
      <c r="L766" s="100" t="n"/>
    </row>
    <row r="767" ht="15.75" customHeight="1" s="158">
      <c r="K767" s="100" t="n"/>
      <c r="L767" s="100" t="n"/>
    </row>
    <row r="768" ht="15.75" customHeight="1" s="158">
      <c r="K768" s="100" t="n"/>
      <c r="L768" s="100" t="n"/>
    </row>
    <row r="769" ht="15.75" customHeight="1" s="158">
      <c r="K769" s="100" t="n"/>
      <c r="L769" s="100" t="n"/>
    </row>
    <row r="770" ht="15.75" customHeight="1" s="158">
      <c r="K770" s="100" t="n"/>
      <c r="L770" s="100" t="n"/>
    </row>
    <row r="771" ht="15.75" customHeight="1" s="158">
      <c r="K771" s="100" t="n"/>
      <c r="L771" s="100" t="n"/>
    </row>
    <row r="772" ht="15.75" customHeight="1" s="158">
      <c r="K772" s="100" t="n"/>
      <c r="L772" s="100" t="n"/>
    </row>
    <row r="773" ht="15.75" customHeight="1" s="158">
      <c r="K773" s="100" t="n"/>
      <c r="L773" s="100" t="n"/>
    </row>
    <row r="774" ht="15.75" customHeight="1" s="158">
      <c r="K774" s="100" t="n"/>
      <c r="L774" s="100" t="n"/>
    </row>
    <row r="775" ht="15.75" customHeight="1" s="158">
      <c r="K775" s="100" t="n"/>
      <c r="L775" s="100" t="n"/>
    </row>
    <row r="776" ht="15.75" customHeight="1" s="158">
      <c r="K776" s="100" t="n"/>
      <c r="L776" s="100" t="n"/>
    </row>
    <row r="777" ht="15.75" customHeight="1" s="158">
      <c r="K777" s="100" t="n"/>
      <c r="L777" s="100" t="n"/>
    </row>
    <row r="778" ht="15.75" customHeight="1" s="158">
      <c r="K778" s="100" t="n"/>
      <c r="L778" s="100" t="n"/>
    </row>
    <row r="779" ht="15.75" customHeight="1" s="158">
      <c r="K779" s="100" t="n"/>
      <c r="L779" s="100" t="n"/>
    </row>
    <row r="780" ht="15.75" customHeight="1" s="158">
      <c r="K780" s="100" t="n"/>
      <c r="L780" s="100" t="n"/>
    </row>
    <row r="781" ht="15.75" customHeight="1" s="158">
      <c r="K781" s="100" t="n"/>
      <c r="L781" s="100" t="n"/>
    </row>
    <row r="782" ht="15.75" customHeight="1" s="158">
      <c r="K782" s="100" t="n"/>
      <c r="L782" s="100" t="n"/>
    </row>
    <row r="783" ht="15.75" customHeight="1" s="158">
      <c r="K783" s="100" t="n"/>
      <c r="L783" s="100" t="n"/>
    </row>
    <row r="784" ht="15.75" customHeight="1" s="158">
      <c r="K784" s="100" t="n"/>
      <c r="L784" s="100" t="n"/>
    </row>
    <row r="785" ht="15.75" customHeight="1" s="158">
      <c r="K785" s="100" t="n"/>
      <c r="L785" s="100" t="n"/>
    </row>
    <row r="786" ht="15.75" customHeight="1" s="158">
      <c r="K786" s="100" t="n"/>
      <c r="L786" s="100" t="n"/>
    </row>
    <row r="787" ht="15.75" customHeight="1" s="158">
      <c r="K787" s="100" t="n"/>
      <c r="L787" s="100" t="n"/>
    </row>
    <row r="788" ht="15.75" customHeight="1" s="158">
      <c r="K788" s="100" t="n"/>
      <c r="L788" s="100" t="n"/>
    </row>
    <row r="789" ht="15.75" customHeight="1" s="158">
      <c r="K789" s="100" t="n"/>
      <c r="L789" s="100" t="n"/>
    </row>
    <row r="790" ht="15.75" customHeight="1" s="158">
      <c r="K790" s="100" t="n"/>
      <c r="L790" s="100" t="n"/>
    </row>
    <row r="791" ht="15.75" customHeight="1" s="158">
      <c r="K791" s="100" t="n"/>
      <c r="L791" s="100" t="n"/>
    </row>
    <row r="792" ht="15.75" customHeight="1" s="158">
      <c r="K792" s="100" t="n"/>
      <c r="L792" s="100" t="n"/>
    </row>
    <row r="793" ht="15.75" customHeight="1" s="158">
      <c r="K793" s="100" t="n"/>
      <c r="L793" s="100" t="n"/>
    </row>
    <row r="794" ht="15.75" customHeight="1" s="158">
      <c r="K794" s="100" t="n"/>
      <c r="L794" s="100" t="n"/>
    </row>
    <row r="795" ht="15.75" customHeight="1" s="158">
      <c r="K795" s="100" t="n"/>
      <c r="L795" s="100" t="n"/>
    </row>
    <row r="796" ht="15.75" customHeight="1" s="158">
      <c r="K796" s="100" t="n"/>
      <c r="L796" s="100" t="n"/>
    </row>
    <row r="797" ht="15.75" customHeight="1" s="158">
      <c r="K797" s="100" t="n"/>
      <c r="L797" s="100" t="n"/>
    </row>
    <row r="798" ht="15.75" customHeight="1" s="158">
      <c r="K798" s="100" t="n"/>
      <c r="L798" s="100" t="n"/>
    </row>
    <row r="799" ht="15.75" customHeight="1" s="158">
      <c r="K799" s="100" t="n"/>
      <c r="L799" s="100" t="n"/>
    </row>
    <row r="800" ht="15.75" customHeight="1" s="158">
      <c r="K800" s="100" t="n"/>
      <c r="L800" s="100" t="n"/>
    </row>
    <row r="801" ht="15.75" customHeight="1" s="158">
      <c r="K801" s="100" t="n"/>
      <c r="L801" s="100" t="n"/>
    </row>
    <row r="802" ht="15.75" customHeight="1" s="158">
      <c r="K802" s="100" t="n"/>
      <c r="L802" s="100" t="n"/>
    </row>
    <row r="803" ht="15.75" customHeight="1" s="158">
      <c r="K803" s="100" t="n"/>
      <c r="L803" s="100" t="n"/>
    </row>
    <row r="804" ht="15.75" customHeight="1" s="158">
      <c r="K804" s="100" t="n"/>
      <c r="L804" s="100" t="n"/>
    </row>
    <row r="805" ht="15.75" customHeight="1" s="158">
      <c r="K805" s="100" t="n"/>
      <c r="L805" s="100" t="n"/>
    </row>
    <row r="806" ht="15.75" customHeight="1" s="158">
      <c r="K806" s="100" t="n"/>
      <c r="L806" s="100" t="n"/>
    </row>
    <row r="807" ht="15.75" customHeight="1" s="158">
      <c r="K807" s="100" t="n"/>
      <c r="L807" s="100" t="n"/>
    </row>
    <row r="808" ht="15.75" customHeight="1" s="158">
      <c r="K808" s="100" t="n"/>
      <c r="L808" s="100" t="n"/>
    </row>
    <row r="809" ht="15.75" customHeight="1" s="158">
      <c r="K809" s="100" t="n"/>
      <c r="L809" s="100" t="n"/>
    </row>
    <row r="810" ht="15.75" customHeight="1" s="158">
      <c r="K810" s="100" t="n"/>
      <c r="L810" s="100" t="n"/>
    </row>
    <row r="811" ht="15.75" customHeight="1" s="158">
      <c r="K811" s="100" t="n"/>
      <c r="L811" s="100" t="n"/>
    </row>
    <row r="812" ht="15.75" customHeight="1" s="158">
      <c r="K812" s="100" t="n"/>
      <c r="L812" s="100" t="n"/>
    </row>
    <row r="813" ht="15.75" customHeight="1" s="158">
      <c r="K813" s="100" t="n"/>
      <c r="L813" s="100" t="n"/>
    </row>
    <row r="814" ht="15.75" customHeight="1" s="158">
      <c r="K814" s="100" t="n"/>
      <c r="L814" s="100" t="n"/>
    </row>
    <row r="815" ht="15.75" customHeight="1" s="158">
      <c r="K815" s="100" t="n"/>
      <c r="L815" s="100" t="n"/>
    </row>
    <row r="816" ht="15.75" customHeight="1" s="158">
      <c r="K816" s="100" t="n"/>
      <c r="L816" s="100" t="n"/>
    </row>
    <row r="817" ht="15.75" customHeight="1" s="158">
      <c r="K817" s="100" t="n"/>
      <c r="L817" s="100" t="n"/>
    </row>
    <row r="818" ht="15.75" customHeight="1" s="158">
      <c r="K818" s="100" t="n"/>
      <c r="L818" s="100" t="n"/>
    </row>
    <row r="819" ht="15.75" customHeight="1" s="158">
      <c r="K819" s="100" t="n"/>
      <c r="L819" s="100" t="n"/>
    </row>
    <row r="820" ht="15.75" customHeight="1" s="158">
      <c r="K820" s="100" t="n"/>
      <c r="L820" s="100" t="n"/>
    </row>
    <row r="821" ht="15.75" customHeight="1" s="158">
      <c r="K821" s="100" t="n"/>
      <c r="L821" s="100" t="n"/>
    </row>
    <row r="822" ht="15.75" customHeight="1" s="158">
      <c r="K822" s="100" t="n"/>
      <c r="L822" s="100" t="n"/>
    </row>
    <row r="823" ht="15.75" customHeight="1" s="158">
      <c r="K823" s="100" t="n"/>
      <c r="L823" s="100" t="n"/>
    </row>
    <row r="824" ht="15.75" customHeight="1" s="158">
      <c r="K824" s="100" t="n"/>
      <c r="L824" s="100" t="n"/>
    </row>
    <row r="825" ht="15.75" customHeight="1" s="158">
      <c r="K825" s="100" t="n"/>
      <c r="L825" s="100" t="n"/>
    </row>
    <row r="826" ht="15.75" customHeight="1" s="158">
      <c r="K826" s="100" t="n"/>
      <c r="L826" s="100" t="n"/>
    </row>
    <row r="827" ht="15.75" customHeight="1" s="158">
      <c r="K827" s="100" t="n"/>
      <c r="L827" s="100" t="n"/>
    </row>
    <row r="828" ht="15.75" customHeight="1" s="158">
      <c r="K828" s="100" t="n"/>
      <c r="L828" s="100" t="n"/>
    </row>
    <row r="829" ht="15.75" customHeight="1" s="158">
      <c r="K829" s="100" t="n"/>
      <c r="L829" s="100" t="n"/>
    </row>
    <row r="830" ht="15.75" customHeight="1" s="158">
      <c r="K830" s="100" t="n"/>
      <c r="L830" s="100" t="n"/>
    </row>
    <row r="831" ht="15.75" customHeight="1" s="158">
      <c r="K831" s="100" t="n"/>
      <c r="L831" s="100" t="n"/>
    </row>
    <row r="832" ht="15.75" customHeight="1" s="158">
      <c r="K832" s="100" t="n"/>
      <c r="L832" s="100" t="n"/>
    </row>
    <row r="833" ht="15.75" customHeight="1" s="158">
      <c r="K833" s="100" t="n"/>
      <c r="L833" s="100" t="n"/>
    </row>
    <row r="834" ht="15.75" customHeight="1" s="158">
      <c r="K834" s="100" t="n"/>
      <c r="L834" s="100" t="n"/>
    </row>
    <row r="835" ht="15.75" customHeight="1" s="158">
      <c r="K835" s="100" t="n"/>
      <c r="L835" s="100" t="n"/>
    </row>
    <row r="836" ht="15.75" customHeight="1" s="158">
      <c r="K836" s="100" t="n"/>
      <c r="L836" s="100" t="n"/>
    </row>
    <row r="837" ht="15.75" customHeight="1" s="158">
      <c r="K837" s="100" t="n"/>
      <c r="L837" s="100" t="n"/>
    </row>
    <row r="838" ht="15.75" customHeight="1" s="158">
      <c r="K838" s="100" t="n"/>
      <c r="L838" s="100" t="n"/>
    </row>
    <row r="839" ht="15.75" customHeight="1" s="158">
      <c r="K839" s="100" t="n"/>
      <c r="L839" s="100" t="n"/>
    </row>
    <row r="840" ht="15.75" customHeight="1" s="158">
      <c r="K840" s="100" t="n"/>
      <c r="L840" s="100" t="n"/>
    </row>
    <row r="841" ht="15.75" customHeight="1" s="158">
      <c r="K841" s="100" t="n"/>
      <c r="L841" s="100" t="n"/>
    </row>
    <row r="842" ht="15.75" customHeight="1" s="158">
      <c r="K842" s="100" t="n"/>
      <c r="L842" s="100" t="n"/>
    </row>
    <row r="843" ht="15.75" customHeight="1" s="158">
      <c r="K843" s="100" t="n"/>
      <c r="L843" s="100" t="n"/>
    </row>
    <row r="844" ht="15.75" customHeight="1" s="158">
      <c r="K844" s="100" t="n"/>
      <c r="L844" s="100" t="n"/>
    </row>
    <row r="845" ht="15.75" customHeight="1" s="158">
      <c r="K845" s="100" t="n"/>
      <c r="L845" s="100" t="n"/>
    </row>
    <row r="846" ht="15.75" customHeight="1" s="158">
      <c r="K846" s="100" t="n"/>
      <c r="L846" s="100" t="n"/>
    </row>
    <row r="847" ht="15.75" customHeight="1" s="158">
      <c r="K847" s="100" t="n"/>
      <c r="L847" s="100" t="n"/>
    </row>
    <row r="848" ht="15.75" customHeight="1" s="158">
      <c r="K848" s="100" t="n"/>
      <c r="L848" s="100" t="n"/>
    </row>
    <row r="849" ht="15.75" customHeight="1" s="158">
      <c r="K849" s="100" t="n"/>
      <c r="L849" s="100" t="n"/>
    </row>
    <row r="850" ht="15.75" customHeight="1" s="158">
      <c r="K850" s="100" t="n"/>
      <c r="L850" s="100" t="n"/>
    </row>
    <row r="851" ht="15.75" customHeight="1" s="158">
      <c r="K851" s="100" t="n"/>
      <c r="L851" s="100" t="n"/>
    </row>
    <row r="852" ht="15.75" customHeight="1" s="158">
      <c r="K852" s="100" t="n"/>
      <c r="L852" s="100" t="n"/>
    </row>
    <row r="853" ht="15.75" customHeight="1" s="158">
      <c r="K853" s="100" t="n"/>
      <c r="L853" s="100" t="n"/>
    </row>
    <row r="854" ht="15.75" customHeight="1" s="158">
      <c r="K854" s="100" t="n"/>
      <c r="L854" s="100" t="n"/>
    </row>
    <row r="855" ht="15.75" customHeight="1" s="158">
      <c r="K855" s="100" t="n"/>
      <c r="L855" s="100" t="n"/>
    </row>
    <row r="856" ht="15.75" customHeight="1" s="158">
      <c r="K856" s="100" t="n"/>
      <c r="L856" s="100" t="n"/>
    </row>
    <row r="857" ht="15.75" customHeight="1" s="158">
      <c r="K857" s="100" t="n"/>
      <c r="L857" s="100" t="n"/>
    </row>
    <row r="858" ht="15.75" customHeight="1" s="158">
      <c r="K858" s="100" t="n"/>
      <c r="L858" s="100" t="n"/>
    </row>
    <row r="859" ht="15.75" customHeight="1" s="158">
      <c r="K859" s="100" t="n"/>
      <c r="L859" s="100" t="n"/>
    </row>
    <row r="860" ht="15.75" customHeight="1" s="158">
      <c r="K860" s="100" t="n"/>
      <c r="L860" s="100" t="n"/>
    </row>
    <row r="861" ht="15.75" customHeight="1" s="158">
      <c r="K861" s="100" t="n"/>
      <c r="L861" s="100" t="n"/>
    </row>
    <row r="862" ht="15.75" customHeight="1" s="158">
      <c r="K862" s="100" t="n"/>
      <c r="L862" s="100" t="n"/>
    </row>
    <row r="863" ht="15.75" customHeight="1" s="158">
      <c r="K863" s="100" t="n"/>
      <c r="L863" s="100" t="n"/>
    </row>
    <row r="864" ht="15.75" customHeight="1" s="158">
      <c r="K864" s="100" t="n"/>
      <c r="L864" s="100" t="n"/>
    </row>
    <row r="865" ht="15.75" customHeight="1" s="158">
      <c r="K865" s="100" t="n"/>
      <c r="L865" s="100" t="n"/>
    </row>
    <row r="866" ht="15.75" customHeight="1" s="158">
      <c r="K866" s="100" t="n"/>
      <c r="L866" s="100" t="n"/>
    </row>
    <row r="867" ht="15.75" customHeight="1" s="158">
      <c r="K867" s="100" t="n"/>
      <c r="L867" s="100" t="n"/>
    </row>
    <row r="868" ht="15.75" customHeight="1" s="158">
      <c r="K868" s="100" t="n"/>
      <c r="L868" s="100" t="n"/>
    </row>
    <row r="869" ht="15.75" customHeight="1" s="158">
      <c r="K869" s="100" t="n"/>
      <c r="L869" s="100" t="n"/>
    </row>
    <row r="870" ht="15.75" customHeight="1" s="158">
      <c r="K870" s="100" t="n"/>
      <c r="L870" s="100" t="n"/>
    </row>
    <row r="871" ht="15.75" customHeight="1" s="158">
      <c r="K871" s="100" t="n"/>
      <c r="L871" s="100" t="n"/>
    </row>
    <row r="872" ht="15.75" customHeight="1" s="158">
      <c r="K872" s="100" t="n"/>
      <c r="L872" s="100" t="n"/>
    </row>
    <row r="873" ht="15.75" customHeight="1" s="158">
      <c r="K873" s="100" t="n"/>
      <c r="L873" s="100" t="n"/>
    </row>
    <row r="874" ht="15.75" customHeight="1" s="158">
      <c r="K874" s="100" t="n"/>
      <c r="L874" s="100" t="n"/>
    </row>
    <row r="875" ht="15.75" customHeight="1" s="158">
      <c r="K875" s="100" t="n"/>
      <c r="L875" s="100" t="n"/>
    </row>
    <row r="876" ht="15.75" customHeight="1" s="158">
      <c r="K876" s="100" t="n"/>
      <c r="L876" s="100" t="n"/>
    </row>
    <row r="877" ht="15.75" customHeight="1" s="158">
      <c r="K877" s="100" t="n"/>
      <c r="L877" s="100" t="n"/>
    </row>
    <row r="878" ht="15.75" customHeight="1" s="158">
      <c r="K878" s="100" t="n"/>
      <c r="L878" s="100" t="n"/>
    </row>
    <row r="879" ht="15.75" customHeight="1" s="158">
      <c r="K879" s="100" t="n"/>
      <c r="L879" s="100" t="n"/>
    </row>
    <row r="880" ht="15.75" customHeight="1" s="158">
      <c r="K880" s="100" t="n"/>
      <c r="L880" s="100" t="n"/>
    </row>
    <row r="881" ht="15.75" customHeight="1" s="158">
      <c r="K881" s="100" t="n"/>
      <c r="L881" s="100" t="n"/>
    </row>
    <row r="882" ht="15.75" customHeight="1" s="158">
      <c r="K882" s="100" t="n"/>
      <c r="L882" s="100" t="n"/>
    </row>
    <row r="883" ht="15.75" customHeight="1" s="158">
      <c r="K883" s="100" t="n"/>
      <c r="L883" s="100" t="n"/>
    </row>
    <row r="884" ht="15.75" customHeight="1" s="158">
      <c r="K884" s="100" t="n"/>
      <c r="L884" s="100" t="n"/>
    </row>
    <row r="885" ht="15.75" customHeight="1" s="158">
      <c r="K885" s="100" t="n"/>
      <c r="L885" s="100" t="n"/>
    </row>
    <row r="886" ht="15.75" customHeight="1" s="158">
      <c r="K886" s="100" t="n"/>
      <c r="L886" s="100" t="n"/>
    </row>
    <row r="887" ht="15.75" customHeight="1" s="158">
      <c r="K887" s="100" t="n"/>
      <c r="L887" s="100" t="n"/>
    </row>
    <row r="888" ht="15.75" customHeight="1" s="158">
      <c r="K888" s="100" t="n"/>
      <c r="L888" s="100" t="n"/>
    </row>
    <row r="889" ht="15.75" customHeight="1" s="158">
      <c r="K889" s="100" t="n"/>
      <c r="L889" s="100" t="n"/>
    </row>
    <row r="890" ht="15.75" customHeight="1" s="158">
      <c r="K890" s="100" t="n"/>
      <c r="L890" s="100" t="n"/>
    </row>
    <row r="891" ht="15.75" customHeight="1" s="158">
      <c r="K891" s="100" t="n"/>
      <c r="L891" s="100" t="n"/>
    </row>
    <row r="892" ht="15.75" customHeight="1" s="158">
      <c r="K892" s="100" t="n"/>
      <c r="L892" s="100" t="n"/>
    </row>
    <row r="893" ht="15.75" customHeight="1" s="158">
      <c r="K893" s="100" t="n"/>
      <c r="L893" s="100" t="n"/>
    </row>
    <row r="894" ht="15.75" customHeight="1" s="158">
      <c r="K894" s="100" t="n"/>
      <c r="L894" s="100" t="n"/>
    </row>
    <row r="895" ht="15.75" customHeight="1" s="158">
      <c r="K895" s="100" t="n"/>
      <c r="L895" s="100" t="n"/>
    </row>
    <row r="896" ht="15.75" customHeight="1" s="158">
      <c r="K896" s="100" t="n"/>
      <c r="L896" s="100" t="n"/>
    </row>
    <row r="897" ht="15.75" customHeight="1" s="158">
      <c r="K897" s="100" t="n"/>
      <c r="L897" s="100" t="n"/>
    </row>
    <row r="898" ht="15.75" customHeight="1" s="158">
      <c r="K898" s="100" t="n"/>
      <c r="L898" s="100" t="n"/>
    </row>
    <row r="899" ht="15.75" customHeight="1" s="158">
      <c r="K899" s="100" t="n"/>
      <c r="L899" s="100" t="n"/>
    </row>
    <row r="900" ht="15.75" customHeight="1" s="158">
      <c r="K900" s="100" t="n"/>
      <c r="L900" s="100" t="n"/>
    </row>
    <row r="901" ht="15.75" customHeight="1" s="158">
      <c r="K901" s="100" t="n"/>
      <c r="L901" s="100" t="n"/>
    </row>
    <row r="902" ht="15.75" customHeight="1" s="158">
      <c r="K902" s="100" t="n"/>
      <c r="L902" s="100" t="n"/>
    </row>
    <row r="903" ht="15.75" customHeight="1" s="158">
      <c r="K903" s="100" t="n"/>
      <c r="L903" s="100" t="n"/>
    </row>
    <row r="904" ht="15.75" customHeight="1" s="158">
      <c r="K904" s="100" t="n"/>
      <c r="L904" s="100" t="n"/>
    </row>
    <row r="905" ht="15.75" customHeight="1" s="158">
      <c r="K905" s="100" t="n"/>
      <c r="L905" s="100" t="n"/>
    </row>
    <row r="906" ht="15.75" customHeight="1" s="158">
      <c r="K906" s="100" t="n"/>
      <c r="L906" s="100" t="n"/>
    </row>
    <row r="907" ht="15.75" customHeight="1" s="158">
      <c r="K907" s="100" t="n"/>
      <c r="L907" s="100" t="n"/>
    </row>
    <row r="908" ht="15.75" customHeight="1" s="158">
      <c r="K908" s="100" t="n"/>
      <c r="L908" s="100" t="n"/>
    </row>
    <row r="909" ht="15.75" customHeight="1" s="158">
      <c r="K909" s="100" t="n"/>
      <c r="L909" s="100" t="n"/>
    </row>
    <row r="910" ht="15.75" customHeight="1" s="158">
      <c r="K910" s="100" t="n"/>
      <c r="L910" s="100" t="n"/>
    </row>
    <row r="911" ht="15.75" customHeight="1" s="158">
      <c r="K911" s="100" t="n"/>
      <c r="L911" s="100" t="n"/>
    </row>
    <row r="912" ht="15.75" customHeight="1" s="158">
      <c r="K912" s="100" t="n"/>
      <c r="L912" s="100" t="n"/>
    </row>
    <row r="913" ht="15.75" customHeight="1" s="158">
      <c r="K913" s="100" t="n"/>
      <c r="L913" s="100" t="n"/>
    </row>
    <row r="914" ht="15.75" customHeight="1" s="158">
      <c r="K914" s="100" t="n"/>
      <c r="L914" s="100" t="n"/>
    </row>
    <row r="915" ht="15.75" customHeight="1" s="158">
      <c r="K915" s="100" t="n"/>
      <c r="L915" s="100" t="n"/>
    </row>
    <row r="916" ht="15.75" customHeight="1" s="158">
      <c r="K916" s="100" t="n"/>
      <c r="L916" s="100" t="n"/>
    </row>
    <row r="917" ht="15.75" customHeight="1" s="158">
      <c r="K917" s="100" t="n"/>
      <c r="L917" s="100" t="n"/>
    </row>
    <row r="918" ht="15.75" customHeight="1" s="158">
      <c r="K918" s="100" t="n"/>
      <c r="L918" s="100" t="n"/>
    </row>
    <row r="919" ht="15.75" customHeight="1" s="158">
      <c r="K919" s="100" t="n"/>
      <c r="L919" s="100" t="n"/>
    </row>
    <row r="920" ht="15.75" customHeight="1" s="158">
      <c r="K920" s="100" t="n"/>
      <c r="L920" s="100" t="n"/>
    </row>
    <row r="921" ht="15.75" customHeight="1" s="158">
      <c r="K921" s="100" t="n"/>
      <c r="L921" s="100" t="n"/>
    </row>
    <row r="922" ht="15.75" customHeight="1" s="158">
      <c r="K922" s="100" t="n"/>
      <c r="L922" s="100" t="n"/>
    </row>
    <row r="923" ht="15.75" customHeight="1" s="158">
      <c r="K923" s="100" t="n"/>
      <c r="L923" s="100" t="n"/>
    </row>
    <row r="924" ht="15.75" customHeight="1" s="158">
      <c r="K924" s="100" t="n"/>
      <c r="L924" s="100" t="n"/>
    </row>
    <row r="925" ht="15.75" customHeight="1" s="158">
      <c r="K925" s="100" t="n"/>
      <c r="L925" s="100" t="n"/>
    </row>
    <row r="926" ht="15.75" customHeight="1" s="158">
      <c r="K926" s="100" t="n"/>
      <c r="L926" s="100" t="n"/>
    </row>
    <row r="927" ht="15.75" customHeight="1" s="158">
      <c r="K927" s="100" t="n"/>
      <c r="L927" s="100" t="n"/>
    </row>
    <row r="928" ht="15.75" customHeight="1" s="158">
      <c r="K928" s="100" t="n"/>
      <c r="L928" s="100" t="n"/>
    </row>
    <row r="929" ht="15.75" customHeight="1" s="158">
      <c r="K929" s="100" t="n"/>
      <c r="L929" s="100" t="n"/>
    </row>
    <row r="930" ht="15.75" customHeight="1" s="158">
      <c r="K930" s="100" t="n"/>
      <c r="L930" s="100" t="n"/>
    </row>
    <row r="931" ht="15.75" customHeight="1" s="158">
      <c r="K931" s="100" t="n"/>
      <c r="L931" s="100" t="n"/>
    </row>
    <row r="932" ht="15.75" customHeight="1" s="158">
      <c r="K932" s="100" t="n"/>
      <c r="L932" s="100" t="n"/>
    </row>
    <row r="933" ht="15.75" customHeight="1" s="158">
      <c r="K933" s="100" t="n"/>
      <c r="L933" s="100" t="n"/>
    </row>
    <row r="934" ht="15.75" customHeight="1" s="158">
      <c r="K934" s="100" t="n"/>
      <c r="L934" s="100" t="n"/>
    </row>
    <row r="935" ht="15.75" customHeight="1" s="158">
      <c r="K935" s="100" t="n"/>
      <c r="L935" s="100" t="n"/>
    </row>
    <row r="936" ht="15.75" customHeight="1" s="158">
      <c r="K936" s="100" t="n"/>
      <c r="L936" s="100" t="n"/>
    </row>
    <row r="937" ht="15.75" customHeight="1" s="158">
      <c r="K937" s="100" t="n"/>
      <c r="L937" s="100" t="n"/>
    </row>
    <row r="938" ht="15.75" customHeight="1" s="158">
      <c r="K938" s="100" t="n"/>
      <c r="L938" s="100" t="n"/>
    </row>
    <row r="939" ht="15.75" customHeight="1" s="158">
      <c r="K939" s="100" t="n"/>
      <c r="L939" s="100" t="n"/>
    </row>
    <row r="940" ht="15.75" customHeight="1" s="158">
      <c r="K940" s="100" t="n"/>
      <c r="L940" s="100" t="n"/>
    </row>
    <row r="941" ht="15.75" customHeight="1" s="158">
      <c r="K941" s="100" t="n"/>
      <c r="L941" s="100" t="n"/>
    </row>
    <row r="942" ht="15.75" customHeight="1" s="158">
      <c r="K942" s="100" t="n"/>
      <c r="L942" s="100" t="n"/>
    </row>
    <row r="943" ht="15.75" customHeight="1" s="158">
      <c r="K943" s="100" t="n"/>
      <c r="L943" s="100" t="n"/>
    </row>
    <row r="944" ht="15.75" customHeight="1" s="158">
      <c r="K944" s="100" t="n"/>
      <c r="L944" s="100" t="n"/>
    </row>
    <row r="945" ht="15.75" customHeight="1" s="158">
      <c r="K945" s="100" t="n"/>
      <c r="L945" s="100" t="n"/>
    </row>
    <row r="946" ht="15.75" customHeight="1" s="158">
      <c r="K946" s="100" t="n"/>
      <c r="L946" s="100" t="n"/>
    </row>
    <row r="947" ht="15.75" customHeight="1" s="158">
      <c r="K947" s="100" t="n"/>
      <c r="L947" s="100" t="n"/>
    </row>
    <row r="948" ht="15.75" customHeight="1" s="158">
      <c r="K948" s="100" t="n"/>
      <c r="L948" s="100" t="n"/>
    </row>
    <row r="949" ht="15.75" customHeight="1" s="158">
      <c r="K949" s="100" t="n"/>
      <c r="L949" s="100" t="n"/>
    </row>
    <row r="950" ht="15.75" customHeight="1" s="158">
      <c r="K950" s="100" t="n"/>
      <c r="L950" s="100" t="n"/>
    </row>
  </sheetData>
  <mergeCells count="13">
    <mergeCell ref="C1:C4"/>
    <mergeCell ref="B22:B28"/>
    <mergeCell ref="C15:C20"/>
    <mergeCell ref="C23:C26"/>
    <mergeCell ref="C11:C14"/>
    <mergeCell ref="E1:E4"/>
    <mergeCell ref="B5:B21"/>
    <mergeCell ref="A1:A4"/>
    <mergeCell ref="C6:C10"/>
    <mergeCell ref="D1:D4"/>
    <mergeCell ref="B1:B4"/>
    <mergeCell ref="G1:G4"/>
    <mergeCell ref="F1:F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0070C0"/>
    <outlinePr summaryBelow="0" summaryRight="0"/>
    <pageSetUpPr/>
  </sheetPr>
  <dimension ref="A1:M84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4.63" customWidth="1" style="158" min="2" max="2"/>
    <col width="13.38" customWidth="1" style="158" min="3" max="3"/>
    <col width="11.13" customWidth="1" style="158" min="4" max="5"/>
    <col width="12.38" customWidth="1" style="158" min="6" max="6"/>
    <col width="11.13" customWidth="1" style="158" min="7" max="13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Client)'!C4:C28,'[1]画面定義一覧　（From Client)'!B4:B28,"",0,1)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</row>
    <row r="5" ht="15.75" customHeight="1" s="158"/>
    <row r="6" ht="15.75" customHeight="1" s="158">
      <c r="J6" s="107" t="inlineStr">
        <is>
          <t>5アイコンのみhoverで表示させる？</t>
        </is>
      </c>
    </row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>
      <c r="J12" s="40" t="inlineStr">
        <is>
          <t>↓先方要望</t>
        </is>
      </c>
    </row>
    <row r="13" ht="15.75" customHeight="1" s="158"/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/>
    <row r="28" ht="15.75" customHeight="1" s="158"/>
    <row r="29" ht="15.75" customHeight="1" s="158"/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5.75" customHeight="1" s="158"/>
    <row r="36" ht="15.75" customHeight="1" s="158"/>
    <row r="37" ht="15.75" customHeight="1" s="158"/>
    <row r="38" ht="15.75" customHeight="1" s="158"/>
    <row r="39" ht="15.75" customHeight="1" s="158"/>
    <row r="40" ht="15.75" customHeight="1" s="158">
      <c r="B40" s="101" t="inlineStr">
        <is>
          <t>項目一覧 （入力項目）</t>
        </is>
      </c>
      <c r="C40" s="108" t="n"/>
      <c r="D40" s="108" t="n"/>
      <c r="E40" s="108" t="n"/>
      <c r="F40" s="108" t="n"/>
      <c r="G40" s="105" t="n"/>
      <c r="H40" s="105" t="n"/>
      <c r="I40" s="105" t="n"/>
      <c r="J40" s="105" t="n"/>
      <c r="K40" s="106" t="n"/>
      <c r="L40" s="106" t="n"/>
    </row>
    <row r="41" ht="15.75" customHeight="1" s="158">
      <c r="B41" s="109" t="inlineStr">
        <is>
          <t>大項目</t>
        </is>
      </c>
      <c r="C41" s="109" t="n"/>
      <c r="D41" s="109" t="inlineStr">
        <is>
          <t>項目名</t>
        </is>
      </c>
      <c r="E41" s="109" t="inlineStr">
        <is>
          <t>型</t>
        </is>
      </c>
      <c r="F41" s="109" t="inlineStr">
        <is>
          <t>桁数/形式</t>
        </is>
      </c>
      <c r="G41" s="110" t="inlineStr">
        <is>
          <t>必須/任意</t>
        </is>
      </c>
      <c r="H41" s="110" t="inlineStr">
        <is>
          <t>備考</t>
        </is>
      </c>
      <c r="I41" s="111" t="n"/>
      <c r="J41" s="111" t="n"/>
      <c r="K41" s="111" t="n"/>
      <c r="L41" s="112" t="n"/>
    </row>
    <row r="42" ht="15.75" customHeight="1" s="158">
      <c r="B42" s="20" t="n"/>
      <c r="C42" s="20" t="n"/>
      <c r="D42" s="20" t="n"/>
      <c r="E42" s="20" t="n"/>
      <c r="F42" s="20" t="n"/>
      <c r="G42" s="20" t="n"/>
      <c r="H42" s="113" t="n"/>
      <c r="I42" s="114" t="n"/>
      <c r="J42" s="114" t="n"/>
      <c r="K42" s="114" t="n"/>
      <c r="L42" s="102" t="n"/>
    </row>
    <row r="43" ht="15.75" customHeight="1" s="158">
      <c r="B43" s="101" t="inlineStr">
        <is>
          <t>項目一覧  （表示情報)</t>
        </is>
      </c>
      <c r="C43" s="108" t="n"/>
      <c r="D43" s="108" t="n"/>
      <c r="E43" s="108" t="n"/>
      <c r="F43" s="108" t="n"/>
      <c r="G43" s="108" t="n"/>
      <c r="H43" s="105" t="n"/>
      <c r="I43" s="105" t="n"/>
      <c r="J43" s="105" t="n"/>
      <c r="K43" s="105" t="n"/>
      <c r="L43" s="106" t="n"/>
    </row>
    <row r="44" ht="15.75" customHeight="1" s="158">
      <c r="B44" s="115" t="inlineStr">
        <is>
          <t>大項目名</t>
        </is>
      </c>
      <c r="C44" s="116" t="inlineStr">
        <is>
          <t>小項目名</t>
        </is>
      </c>
      <c r="D44" s="110" t="inlineStr">
        <is>
          <t>内容</t>
        </is>
      </c>
      <c r="E44" s="111" t="n"/>
      <c r="F44" s="111" t="n"/>
      <c r="G44" s="112" t="n"/>
      <c r="H44" s="110" t="inlineStr">
        <is>
          <t>備考</t>
        </is>
      </c>
      <c r="I44" s="111" t="n"/>
      <c r="J44" s="111" t="n"/>
      <c r="K44" s="111" t="n"/>
      <c r="L44" s="112" t="n"/>
    </row>
    <row r="45" ht="15.75" customHeight="1" s="158">
      <c r="A45" s="40" t="n"/>
      <c r="B45" s="117" t="inlineStr">
        <is>
          <t>詳細画面</t>
        </is>
      </c>
      <c r="C45" s="118" t="n"/>
      <c r="D45" s="118" t="n"/>
      <c r="E45" s="118" t="n"/>
      <c r="F45" s="118" t="n"/>
      <c r="G45" s="118" t="n"/>
      <c r="H45" s="118" t="n"/>
      <c r="I45" s="118" t="n"/>
      <c r="J45" s="118" t="n"/>
      <c r="K45" s="118" t="n"/>
      <c r="L45" s="119" t="n"/>
    </row>
    <row r="46" ht="15.75" customHeight="1" s="158">
      <c r="B46" s="120" t="inlineStr">
        <is>
          <t>タイトル</t>
        </is>
      </c>
      <c r="C46" s="114" t="n"/>
      <c r="D46" s="121" t="inlineStr">
        <is>
          <t>公募のタイトルを表示する</t>
        </is>
      </c>
      <c r="E46" s="114" t="n"/>
      <c r="F46" s="114" t="n"/>
      <c r="G46" s="102" t="n"/>
      <c r="H46" s="122" t="inlineStr">
        <is>
          <t>ラベル</t>
        </is>
      </c>
      <c r="I46" s="114" t="n"/>
      <c r="J46" s="114" t="n"/>
      <c r="K46" s="114" t="n"/>
      <c r="L46" s="102" t="n"/>
    </row>
    <row r="47" ht="15.75" customHeight="1" s="158">
      <c r="B47" s="123" t="inlineStr">
        <is>
          <t>公募情報</t>
        </is>
      </c>
      <c r="C47" s="124" t="inlineStr">
        <is>
          <t>急募マーク</t>
        </is>
      </c>
      <c r="D47" s="122" t="inlineStr">
        <is>
          <t>急募マークにチェックがある場合、「急募」のラベルを表示する</t>
        </is>
      </c>
      <c r="E47" s="114" t="n"/>
      <c r="F47" s="114" t="n"/>
      <c r="G47" s="102" t="n"/>
      <c r="H47" s="122" t="inlineStr">
        <is>
          <t>ラベル</t>
        </is>
      </c>
      <c r="I47" s="114" t="n"/>
      <c r="J47" s="114" t="n"/>
      <c r="K47" s="114" t="n"/>
      <c r="L47" s="102" t="n"/>
    </row>
    <row r="48" ht="15.75" customHeight="1" s="158">
      <c r="B48" s="120" t="n"/>
      <c r="C48" s="124" t="inlineStr">
        <is>
          <t>サムネイル</t>
        </is>
      </c>
      <c r="D48" s="121" t="inlineStr">
        <is>
          <t>設定されたサムネイルを表示する</t>
        </is>
      </c>
      <c r="E48" s="114" t="n"/>
      <c r="F48" s="114" t="n"/>
      <c r="G48" s="102" t="n"/>
      <c r="H48" s="122" t="inlineStr">
        <is>
          <t>5つまで設定可能なイメージ画像の中から選択された1画像を表示する</t>
        </is>
      </c>
      <c r="I48" s="114" t="n"/>
      <c r="J48" s="114" t="n"/>
      <c r="K48" s="114" t="n"/>
      <c r="L48" s="102" t="n"/>
    </row>
    <row r="49" ht="15.75" customHeight="1" s="158">
      <c r="B49" s="120" t="n"/>
      <c r="C49" s="125" t="inlineStr">
        <is>
          <t>タグ</t>
        </is>
      </c>
      <c r="D49" s="121" t="inlineStr">
        <is>
          <t>設定されたイベント用タグを表示する</t>
        </is>
      </c>
      <c r="E49" s="114" t="n"/>
      <c r="F49" s="114" t="n"/>
      <c r="G49" s="102" t="n"/>
      <c r="H49" s="113" t="n"/>
      <c r="I49" s="114" t="n"/>
      <c r="J49" s="114" t="n"/>
      <c r="K49" s="114" t="n"/>
      <c r="L49" s="102" t="n"/>
    </row>
    <row r="50" ht="15.75" customHeight="1" s="158">
      <c r="B50" s="20" t="n"/>
      <c r="C50" s="125" t="inlineStr">
        <is>
          <t>募集期限</t>
        </is>
      </c>
      <c r="D50" s="121">
        <f>C50&amp;"を表示する"</f>
        <v/>
      </c>
      <c r="E50" s="114" t="n"/>
      <c r="F50" s="114" t="n"/>
      <c r="G50" s="102" t="n"/>
      <c r="H50" s="113" t="inlineStr">
        <is>
          <t>「YYYY/MM/DD」と表示する</t>
        </is>
      </c>
      <c r="I50" s="114" t="n"/>
      <c r="J50" s="114" t="n"/>
      <c r="K50" s="114" t="n"/>
      <c r="L50" s="102" t="n"/>
    </row>
    <row r="51" ht="15.75" customHeight="1" s="158">
      <c r="B51" s="20" t="n"/>
      <c r="C51" s="125" t="inlineStr">
        <is>
          <t>主催者</t>
        </is>
      </c>
      <c r="D51" s="121">
        <f>C51&amp;"を表示する"</f>
        <v/>
      </c>
      <c r="E51" s="114" t="n"/>
      <c r="F51" s="114" t="n"/>
      <c r="G51" s="102" t="n"/>
      <c r="H51" s="122" t="inlineStr">
        <is>
          <t>フリーテキスト</t>
        </is>
      </c>
      <c r="I51" s="114" t="n"/>
      <c r="J51" s="114" t="n"/>
      <c r="K51" s="114" t="n"/>
      <c r="L51" s="102" t="n"/>
    </row>
    <row r="52" ht="15.75" customHeight="1" s="158">
      <c r="B52" s="20" t="n"/>
      <c r="C52" s="125" t="inlineStr">
        <is>
          <t>メンバーアイコン</t>
        </is>
      </c>
      <c r="D52" s="121" t="inlineStr">
        <is>
          <t>ポートフォリオメンバーのアイコンが表示される</t>
        </is>
      </c>
      <c r="E52" s="114" t="n"/>
      <c r="F52" s="114" t="n"/>
      <c r="G52" s="102" t="n"/>
      <c r="H52" s="122" t="inlineStr">
        <is>
          <t>未選択の場合は非表示。５アイコンまで表示させる</t>
        </is>
      </c>
      <c r="I52" s="114" t="n"/>
      <c r="J52" s="114" t="n"/>
      <c r="K52" s="114" t="n"/>
      <c r="L52" s="102" t="n"/>
    </row>
    <row r="53" ht="15.75" customHeight="1" s="158">
      <c r="B53" s="20" t="n"/>
      <c r="C53" s="125" t="inlineStr">
        <is>
          <t>報酬</t>
        </is>
      </c>
      <c r="D53" s="121" t="inlineStr">
        <is>
          <t>報酬内容を表示する</t>
        </is>
      </c>
      <c r="E53" s="114" t="n"/>
      <c r="F53" s="114" t="n"/>
      <c r="G53" s="102" t="n"/>
      <c r="H53" s="122" t="inlineStr">
        <is>
          <t>報酬なしの場合は非表示</t>
        </is>
      </c>
      <c r="I53" s="114" t="n"/>
      <c r="J53" s="114" t="n"/>
      <c r="K53" s="114" t="n"/>
      <c r="L53" s="102" t="n"/>
    </row>
    <row r="54" ht="15.75" customHeight="1" s="158">
      <c r="A54" s="40" t="n"/>
      <c r="B54" s="120" t="inlineStr">
        <is>
          <t>公募詳細</t>
        </is>
      </c>
      <c r="C54" s="126" t="inlineStr">
        <is>
          <t>募集内容</t>
        </is>
      </c>
      <c r="D54" s="121">
        <f>C54&amp;"を表示する"</f>
        <v/>
      </c>
      <c r="E54" s="114" t="n"/>
      <c r="F54" s="114" t="n"/>
      <c r="G54" s="102" t="n"/>
      <c r="H54" s="113" t="n"/>
      <c r="I54" s="114" t="n"/>
      <c r="J54" s="114" t="n"/>
      <c r="K54" s="114" t="n"/>
      <c r="L54" s="102" t="n"/>
    </row>
    <row r="55" ht="15.75" customHeight="1" s="158">
      <c r="A55" s="40" t="n"/>
      <c r="B55" s="120" t="n"/>
      <c r="C55" s="126" t="inlineStr">
        <is>
          <t>募集背景</t>
        </is>
      </c>
      <c r="D55" s="121">
        <f>C55&amp;"を表示する"</f>
        <v/>
      </c>
      <c r="E55" s="114" t="n"/>
      <c r="F55" s="114" t="n"/>
      <c r="G55" s="102" t="n"/>
      <c r="H55" s="113" t="n"/>
      <c r="I55" s="114" t="n"/>
      <c r="J55" s="114" t="n"/>
      <c r="K55" s="114" t="n"/>
      <c r="L55" s="102" t="n"/>
    </row>
    <row r="56" ht="15.75" customHeight="1" s="158">
      <c r="A56" s="40" t="n"/>
      <c r="B56" s="120" t="n"/>
      <c r="C56" s="126" t="inlineStr">
        <is>
          <t>イメージ画像</t>
        </is>
      </c>
      <c r="D56" s="121">
        <f>C56&amp;"を表示する"</f>
        <v/>
      </c>
      <c r="E56" s="114" t="n"/>
      <c r="F56" s="114" t="n"/>
      <c r="G56" s="102" t="n"/>
      <c r="H56" s="122" t="inlineStr">
        <is>
          <t>最大5枚まで表示</t>
        </is>
      </c>
      <c r="I56" s="114" t="n"/>
      <c r="J56" s="114" t="n"/>
      <c r="K56" s="114" t="n"/>
      <c r="L56" s="102" t="n"/>
    </row>
    <row r="57" ht="15.75" customHeight="1" s="158">
      <c r="A57" s="40" t="n"/>
      <c r="B57" s="120" t="n"/>
      <c r="C57" s="126" t="inlineStr">
        <is>
          <t>掲載日</t>
        </is>
      </c>
      <c r="D57" s="121">
        <f>C57&amp;"を表示する"</f>
        <v/>
      </c>
      <c r="E57" s="114" t="n"/>
      <c r="F57" s="114" t="n"/>
      <c r="G57" s="102" t="n"/>
      <c r="H57" s="122" t="inlineStr">
        <is>
          <t>掲載予定日を「YYYY/MM/DD」形式で表示する</t>
        </is>
      </c>
      <c r="I57" s="114" t="n"/>
      <c r="J57" s="114" t="n"/>
      <c r="K57" s="114" t="n"/>
      <c r="L57" s="102" t="n"/>
    </row>
    <row r="58" ht="15.75" customHeight="1" s="158">
      <c r="A58" s="40" t="n"/>
      <c r="B58" s="123" t="n"/>
      <c r="C58" s="125" t="inlineStr">
        <is>
          <t>応募する</t>
        </is>
      </c>
      <c r="D58" s="121" t="inlineStr">
        <is>
          <t>コミュケーションツールリンクへのリンク</t>
        </is>
      </c>
      <c r="E58" s="114" t="n"/>
      <c r="F58" s="114" t="n"/>
      <c r="G58" s="102" t="n"/>
      <c r="H58" s="113" t="n"/>
      <c r="I58" s="114" t="n"/>
      <c r="J58" s="114" t="n"/>
      <c r="K58" s="114" t="n"/>
      <c r="L58" s="102" t="n"/>
    </row>
    <row r="59" ht="15.75" customHeight="1" s="158">
      <c r="A59" s="40" t="n"/>
      <c r="B59" s="123" t="inlineStr">
        <is>
          <t>他募集</t>
        </is>
      </c>
      <c r="C59" s="125" t="n"/>
      <c r="D59" s="121" t="inlineStr">
        <is>
          <t>「他応募」のラベル表示</t>
        </is>
      </c>
      <c r="E59" s="114" t="n"/>
      <c r="F59" s="114" t="n"/>
      <c r="G59" s="102" t="n"/>
      <c r="H59" s="122" t="inlineStr">
        <is>
          <t>ラベル</t>
        </is>
      </c>
      <c r="I59" s="114" t="n"/>
      <c r="J59" s="114" t="n"/>
      <c r="K59" s="114" t="n"/>
      <c r="L59" s="102" t="n"/>
    </row>
    <row r="60" ht="15.75" customHeight="1" s="158">
      <c r="A60" s="40" t="n"/>
      <c r="B60" s="123" t="inlineStr">
        <is>
          <t>他募集表示エリア</t>
        </is>
      </c>
      <c r="C60" s="124" t="inlineStr">
        <is>
          <t>-</t>
        </is>
      </c>
      <c r="D60" s="121" t="inlineStr">
        <is>
          <t>-</t>
        </is>
      </c>
      <c r="E60" s="114" t="n"/>
      <c r="F60" s="114" t="n"/>
      <c r="G60" s="102" t="n"/>
      <c r="H60" s="113" t="inlineStr">
        <is>
          <t>掲載日降順で10公募まで表示する</t>
        </is>
      </c>
      <c r="I60" s="114" t="n"/>
      <c r="J60" s="114" t="n"/>
      <c r="K60" s="114" t="n"/>
      <c r="L60" s="102" t="n"/>
    </row>
    <row r="61" ht="15.75" customHeight="1" s="158">
      <c r="A61" s="40" t="n"/>
      <c r="B61" s="123" t="n"/>
      <c r="C61" s="124" t="inlineStr">
        <is>
          <t>サムネイル</t>
        </is>
      </c>
      <c r="D61" s="121" t="n"/>
      <c r="E61" s="114" t="n"/>
      <c r="F61" s="114" t="n"/>
      <c r="G61" s="102" t="n"/>
      <c r="H61" s="113" t="n"/>
      <c r="I61" s="114" t="n"/>
      <c r="J61" s="114" t="n"/>
      <c r="K61" s="114" t="n"/>
      <c r="L61" s="102" t="n"/>
    </row>
    <row r="62" ht="15.75" customHeight="1" s="158">
      <c r="A62" s="40" t="n"/>
      <c r="B62" s="123" t="n"/>
      <c r="C62" s="127" t="inlineStr">
        <is>
          <t>タグ</t>
        </is>
      </c>
      <c r="D62" s="121" t="n"/>
      <c r="E62" s="114" t="n"/>
      <c r="F62" s="114" t="n"/>
      <c r="G62" s="102" t="n"/>
      <c r="H62" s="122" t="n"/>
      <c r="I62" s="114" t="n"/>
      <c r="J62" s="114" t="n"/>
      <c r="K62" s="114" t="n"/>
      <c r="L62" s="102" t="n"/>
      <c r="M62" s="128" t="inlineStr">
        <is>
          <t>不要で問題ないか要確認</t>
        </is>
      </c>
    </row>
    <row r="63" ht="15.75" customHeight="1" s="158">
      <c r="A63" s="40" t="n"/>
      <c r="B63" s="123" t="n"/>
      <c r="C63" s="125" t="inlineStr">
        <is>
          <t>タイトル</t>
        </is>
      </c>
      <c r="D63" s="121" t="n"/>
      <c r="E63" s="114" t="n"/>
      <c r="F63" s="114" t="n"/>
      <c r="G63" s="102" t="n"/>
      <c r="H63" s="113" t="n"/>
      <c r="I63" s="114" t="n"/>
      <c r="J63" s="114" t="n"/>
      <c r="K63" s="114" t="n"/>
      <c r="L63" s="102" t="n"/>
    </row>
    <row r="64" ht="15.75" customHeight="1" s="158">
      <c r="A64" s="40" t="n"/>
      <c r="B64" s="123" t="n"/>
      <c r="C64" s="125" t="inlineStr">
        <is>
          <t>主催者</t>
        </is>
      </c>
      <c r="D64" s="121" t="n"/>
      <c r="E64" s="114" t="n"/>
      <c r="F64" s="114" t="n"/>
      <c r="G64" s="102" t="n"/>
      <c r="H64" s="113" t="n"/>
      <c r="I64" s="114" t="n"/>
      <c r="J64" s="114" t="n"/>
      <c r="K64" s="114" t="n"/>
      <c r="L64" s="102" t="n"/>
      <c r="M64" s="129" t="n"/>
    </row>
    <row r="65" ht="15.75" customHeight="1" s="158">
      <c r="A65" s="40" t="n"/>
      <c r="B65" s="123" t="n"/>
      <c r="C65" s="125" t="inlineStr">
        <is>
          <t>募集期限</t>
        </is>
      </c>
      <c r="D65" s="121" t="n"/>
      <c r="E65" s="114" t="n"/>
      <c r="F65" s="114" t="n"/>
      <c r="G65" s="102" t="n"/>
      <c r="H65" s="113" t="inlineStr">
        <is>
          <t>期限：「YYYY/MM/DD」と表示する</t>
        </is>
      </c>
      <c r="I65" s="114" t="n"/>
      <c r="J65" s="114" t="n"/>
      <c r="K65" s="114" t="n"/>
      <c r="L65" s="102" t="n"/>
    </row>
    <row r="66" ht="15.75" customHeight="1" s="158">
      <c r="A66" s="40" t="n"/>
      <c r="B66" s="123" t="n"/>
      <c r="C66" s="125" t="inlineStr">
        <is>
          <t>報酬</t>
        </is>
      </c>
      <c r="D66" s="121" t="n"/>
      <c r="E66" s="114" t="n"/>
      <c r="F66" s="114" t="n"/>
      <c r="G66" s="102" t="n"/>
      <c r="H66" s="113" t="n"/>
      <c r="I66" s="114" t="n"/>
      <c r="J66" s="114" t="n"/>
      <c r="K66" s="114" t="n"/>
      <c r="L66" s="102" t="n"/>
    </row>
    <row r="67" ht="15.75" customHeight="1" s="158">
      <c r="A67" s="40" t="n"/>
      <c r="B67" s="117" t="inlineStr">
        <is>
          <t>hover画面</t>
        </is>
      </c>
      <c r="C67" s="118" t="n"/>
      <c r="D67" s="118" t="n"/>
      <c r="E67" s="118" t="n"/>
      <c r="F67" s="118" t="n"/>
      <c r="G67" s="118" t="n"/>
      <c r="H67" s="118" t="n"/>
      <c r="I67" s="118" t="n"/>
      <c r="J67" s="118" t="n"/>
      <c r="K67" s="118" t="n"/>
      <c r="L67" s="119" t="n"/>
    </row>
    <row r="68" ht="15.75" customHeight="1" s="158">
      <c r="A68" s="40" t="n"/>
      <c r="B68" s="123" t="inlineStr">
        <is>
          <t>サムネイル</t>
        </is>
      </c>
      <c r="C68" s="125" t="n"/>
      <c r="D68" s="121">
        <f>B68&amp;"を表示する"</f>
        <v/>
      </c>
      <c r="E68" s="114" t="n"/>
      <c r="F68" s="114" t="n"/>
      <c r="G68" s="102" t="n"/>
      <c r="H68" s="113" t="n"/>
      <c r="I68" s="114" t="n"/>
      <c r="J68" s="114" t="n"/>
      <c r="K68" s="114" t="n"/>
      <c r="L68" s="102" t="n"/>
    </row>
    <row r="69" ht="15.75" customHeight="1" s="158">
      <c r="A69" s="40" t="n"/>
      <c r="B69" s="123" t="inlineStr">
        <is>
          <t>ユーザ名</t>
        </is>
      </c>
      <c r="C69" s="125" t="n"/>
      <c r="D69" s="121">
        <f>B69&amp;"を表示する"</f>
        <v/>
      </c>
      <c r="E69" s="114" t="n"/>
      <c r="F69" s="114" t="n"/>
      <c r="G69" s="102" t="n"/>
      <c r="H69" s="113" t="n"/>
      <c r="I69" s="114" t="n"/>
      <c r="J69" s="114" t="n"/>
      <c r="K69" s="114" t="n"/>
      <c r="L69" s="102" t="n"/>
    </row>
    <row r="70" ht="15.75" customHeight="1" s="158">
      <c r="A70" s="40" t="n"/>
      <c r="B70" s="123" t="inlineStr">
        <is>
          <t>ネームアドレス</t>
        </is>
      </c>
      <c r="C70" s="125" t="n"/>
      <c r="D70" s="121">
        <f>B70&amp;"を表示する"</f>
        <v/>
      </c>
      <c r="E70" s="114" t="n"/>
      <c r="F70" s="114" t="n"/>
      <c r="G70" s="102" t="n"/>
      <c r="H70" s="113" t="n"/>
      <c r="I70" s="114" t="n"/>
      <c r="J70" s="114" t="n"/>
      <c r="K70" s="114" t="n"/>
      <c r="L70" s="102" t="n"/>
    </row>
    <row r="71" ht="15" customHeight="1" s="158">
      <c r="A71" s="40" t="n"/>
      <c r="B71" s="123" t="inlineStr">
        <is>
          <t>プロフィール</t>
        </is>
      </c>
      <c r="C71" s="125" t="n"/>
      <c r="D71" s="121">
        <f>B71&amp;"を表示する"</f>
        <v/>
      </c>
      <c r="E71" s="114" t="n"/>
      <c r="F71" s="114" t="n"/>
      <c r="G71" s="102" t="n"/>
      <c r="H71" s="113" t="n"/>
      <c r="I71" s="114" t="n"/>
      <c r="J71" s="114" t="n"/>
      <c r="K71" s="114" t="n"/>
      <c r="L71" s="102" t="n"/>
    </row>
    <row r="72" ht="15" customHeight="1" s="158">
      <c r="A72" s="40" t="n"/>
      <c r="B72" s="130" t="inlineStr">
        <is>
          <t>項目一覧  （出力項目)</t>
        </is>
      </c>
      <c r="C72" s="108" t="n"/>
      <c r="D72" s="108" t="n"/>
      <c r="E72" s="108" t="n"/>
      <c r="F72" s="108" t="n"/>
      <c r="G72" s="108" t="n"/>
      <c r="H72" s="105" t="n"/>
      <c r="I72" s="105" t="n"/>
      <c r="J72" s="105" t="n"/>
      <c r="K72" s="105" t="n"/>
      <c r="L72" s="106" t="n"/>
    </row>
    <row r="73" ht="15.75" customHeight="1" s="158">
      <c r="A73" s="40" t="n"/>
      <c r="B73" s="131" t="inlineStr">
        <is>
          <t>大項目名</t>
        </is>
      </c>
      <c r="C73" s="116" t="inlineStr">
        <is>
          <t>小項目名</t>
        </is>
      </c>
      <c r="D73" s="110" t="inlineStr">
        <is>
          <t>内容</t>
        </is>
      </c>
      <c r="E73" s="111" t="n"/>
      <c r="F73" s="111" t="n"/>
      <c r="G73" s="112" t="n"/>
      <c r="H73" s="110" t="inlineStr">
        <is>
          <t>備考</t>
        </is>
      </c>
      <c r="I73" s="111" t="n"/>
      <c r="J73" s="111" t="n"/>
      <c r="K73" s="111" t="n"/>
      <c r="L73" s="112" t="n"/>
    </row>
    <row r="74" ht="15.75" customHeight="1" s="158">
      <c r="A74" s="40" t="n"/>
      <c r="B74" s="20" t="n"/>
      <c r="C74" s="113" t="n"/>
      <c r="D74" s="113" t="n"/>
      <c r="E74" s="114" t="n"/>
      <c r="F74" s="114" t="n"/>
      <c r="G74" s="102" t="n"/>
      <c r="H74" s="113" t="n"/>
      <c r="I74" s="114" t="n"/>
      <c r="J74" s="114" t="n"/>
      <c r="K74" s="114" t="n"/>
      <c r="L74" s="102" t="n"/>
    </row>
    <row r="75" ht="15.75" customHeight="1" s="158">
      <c r="B75" s="101" t="inlineStr">
        <is>
          <t>アクション仕様</t>
        </is>
      </c>
      <c r="C75" s="108" t="n"/>
      <c r="D75" s="108" t="n"/>
      <c r="E75" s="108" t="n"/>
      <c r="F75" s="108" t="n"/>
      <c r="G75" s="108" t="n"/>
      <c r="H75" s="105" t="n"/>
      <c r="I75" s="105" t="n"/>
      <c r="J75" s="105" t="n"/>
      <c r="K75" s="105" t="n"/>
      <c r="L75" s="106" t="n"/>
    </row>
    <row r="76" ht="15.75" customHeight="1" s="158">
      <c r="A76" s="40" t="n"/>
      <c r="B76" s="110" t="inlineStr">
        <is>
          <t>アクション</t>
        </is>
      </c>
      <c r="C76" s="111" t="n"/>
      <c r="D76" s="111" t="n"/>
      <c r="E76" s="111" t="n"/>
      <c r="F76" s="111" t="n"/>
      <c r="G76" s="110" t="inlineStr">
        <is>
          <t>備考</t>
        </is>
      </c>
      <c r="H76" s="111" t="n"/>
      <c r="I76" s="111" t="n"/>
      <c r="J76" s="111" t="n"/>
      <c r="K76" s="111" t="n"/>
      <c r="L76" s="112" t="n"/>
    </row>
    <row r="77" ht="15.75" customHeight="1" s="158">
      <c r="A77" s="40" t="n"/>
      <c r="B77" s="122" t="inlineStr">
        <is>
          <t>公募情報欄のタグをクリックで、紐づくイベントを表示するイベント一覧画面に遷移する</t>
        </is>
      </c>
      <c r="C77" s="114" t="n"/>
      <c r="D77" s="114" t="n"/>
      <c r="E77" s="114" t="n"/>
      <c r="F77" s="102" t="n"/>
      <c r="G77" s="113" t="n"/>
      <c r="H77" s="114" t="n"/>
      <c r="I77" s="114" t="n"/>
      <c r="J77" s="114" t="n"/>
      <c r="K77" s="114" t="n"/>
      <c r="L77" s="102" t="n"/>
    </row>
    <row r="78" ht="15.75" customHeight="1" s="158">
      <c r="B78" s="122" t="inlineStr">
        <is>
          <t>公募情報欄のメンバーをクリックで、紐づくメンバーのプロフィール画面に遷移する</t>
        </is>
      </c>
      <c r="C78" s="114" t="n"/>
      <c r="D78" s="114" t="n"/>
      <c r="E78" s="114" t="n"/>
      <c r="F78" s="102" t="n"/>
      <c r="G78" s="113" t="n"/>
      <c r="H78" s="114" t="n"/>
      <c r="I78" s="114" t="n"/>
      <c r="J78" s="114" t="n"/>
      <c r="K78" s="114" t="n"/>
      <c r="L78" s="102" t="n"/>
    </row>
    <row r="79" ht="15.75" customHeight="1" s="158">
      <c r="A79" s="40" t="n"/>
      <c r="B79" s="122" t="inlineStr">
        <is>
          <t>イメージ画像のクリックで、プレビュー表示する</t>
        </is>
      </c>
      <c r="C79" s="114" t="n"/>
      <c r="D79" s="114" t="n"/>
      <c r="E79" s="114" t="n"/>
      <c r="F79" s="102" t="n"/>
      <c r="G79" s="113" t="n"/>
      <c r="H79" s="114" t="n"/>
      <c r="I79" s="114" t="n"/>
      <c r="J79" s="114" t="n"/>
      <c r="K79" s="114" t="n"/>
      <c r="L79" s="102" t="n"/>
    </row>
    <row r="80" ht="15.75" customHeight="1" s="158">
      <c r="A80" s="40" t="n"/>
      <c r="B80" s="122" t="inlineStr">
        <is>
          <t>応募するボタンクリックで、コミュニケーションツールに画面遷移する</t>
        </is>
      </c>
      <c r="C80" s="114" t="n"/>
      <c r="D80" s="114" t="n"/>
      <c r="E80" s="114" t="n"/>
      <c r="F80" s="102" t="n"/>
      <c r="G80" s="113" t="n"/>
      <c r="H80" s="114" t="n"/>
      <c r="I80" s="114" t="n"/>
      <c r="J80" s="114" t="n"/>
      <c r="K80" s="114" t="n"/>
      <c r="L80" s="102" t="n"/>
    </row>
    <row r="81" ht="15.75" customHeight="1" s="158">
      <c r="A81" s="40" t="n"/>
      <c r="B81" s="122" t="inlineStr">
        <is>
          <t>他募集エリアの個別のエリアをクリックで、クリックした公募詳細画面に遷移する</t>
        </is>
      </c>
      <c r="C81" s="114" t="n"/>
      <c r="D81" s="114" t="n"/>
      <c r="E81" s="114" t="n"/>
      <c r="F81" s="102" t="n"/>
      <c r="G81" s="122" t="inlineStr">
        <is>
          <t>※サムネイル、タイトル等のエリアをクリック可能</t>
        </is>
      </c>
      <c r="H81" s="114" t="n"/>
      <c r="I81" s="114" t="n"/>
      <c r="J81" s="114" t="n"/>
      <c r="K81" s="114" t="n"/>
      <c r="L81" s="102" t="n"/>
    </row>
    <row r="82" ht="15.75" customHeight="1" s="158">
      <c r="B82" s="101" t="inlineStr">
        <is>
          <t>出力仕様（エラーメッセージ）</t>
        </is>
      </c>
      <c r="C82" s="108" t="n"/>
      <c r="D82" s="108" t="n"/>
      <c r="E82" s="108" t="n"/>
      <c r="F82" s="108" t="n"/>
      <c r="G82" s="108" t="n"/>
      <c r="H82" s="105" t="n"/>
      <c r="I82" s="105" t="n"/>
      <c r="J82" s="105" t="n"/>
      <c r="K82" s="105" t="n"/>
      <c r="L82" s="106" t="n"/>
    </row>
    <row r="83" ht="15.75" customHeight="1" s="158">
      <c r="B83" s="110" t="inlineStr">
        <is>
          <t>エラーメッセージ</t>
        </is>
      </c>
      <c r="C83" s="111" t="n"/>
      <c r="D83" s="111" t="n"/>
      <c r="E83" s="111" t="n"/>
      <c r="F83" s="111" t="n"/>
      <c r="G83" s="110" t="inlineStr">
        <is>
          <t>備考</t>
        </is>
      </c>
      <c r="H83" s="111" t="n"/>
      <c r="I83" s="111" t="n"/>
      <c r="J83" s="111" t="n"/>
      <c r="K83" s="111" t="n"/>
      <c r="L83" s="112" t="n"/>
    </row>
    <row r="84" ht="15.75" customHeight="1" s="158">
      <c r="B84" s="113" t="n"/>
      <c r="C84" s="114" t="n"/>
      <c r="D84" s="114" t="n"/>
      <c r="E84" s="114" t="n"/>
      <c r="F84" s="102" t="n"/>
      <c r="G84" s="113" t="n"/>
      <c r="H84" s="114" t="n"/>
      <c r="I84" s="114" t="n"/>
      <c r="J84" s="114" t="n"/>
      <c r="K84" s="114" t="n"/>
      <c r="L84" s="102" t="n"/>
    </row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D9E6FC"/>
    <outlinePr summaryBelow="0" summaryRight="0"/>
    <pageSetUpPr/>
  </sheetPr>
  <dimension ref="A1:N66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1.13" customWidth="1" style="158" min="2" max="14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Client)'!C4:C28,'[1]画面定義一覧　（From Client)'!B4:B28,"",0,1)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"'!A1",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/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/>
    <row r="28" ht="15.75" customHeight="1" s="158"/>
    <row r="29" ht="15.75" customHeight="1" s="158"/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5.75" customHeight="1" s="158"/>
    <row r="36" ht="15.75" customHeight="1" s="158"/>
    <row r="37" ht="15.75" customHeight="1" s="158"/>
    <row r="38" ht="15.75" customHeight="1" s="158"/>
    <row r="39" ht="15.75" customHeight="1" s="158"/>
    <row r="40" ht="15.75" customHeight="1" s="158"/>
    <row r="41" ht="15.75" customHeight="1" s="158"/>
    <row r="42" ht="15.75" customHeight="1" s="158"/>
    <row r="43" ht="15.75" customHeight="1" s="158">
      <c r="B43" s="101" t="inlineStr">
        <is>
          <t>項目一覧 （入力項目）</t>
        </is>
      </c>
      <c r="C43" s="108" t="n"/>
      <c r="D43" s="108" t="n"/>
      <c r="E43" s="108" t="n"/>
      <c r="F43" s="108" t="n"/>
      <c r="G43" s="105" t="n"/>
      <c r="H43" s="105" t="n"/>
      <c r="I43" s="105" t="n"/>
      <c r="J43" s="105" t="n"/>
      <c r="K43" s="105" t="n"/>
      <c r="L43" s="106" t="n"/>
    </row>
    <row r="44" ht="15.75" customHeight="1" s="158">
      <c r="B44" s="109" t="inlineStr">
        <is>
          <t>大項目</t>
        </is>
      </c>
      <c r="C44" s="109" t="n"/>
      <c r="D44" s="109" t="inlineStr">
        <is>
          <t>項目名</t>
        </is>
      </c>
      <c r="E44" s="109" t="inlineStr">
        <is>
          <t>型</t>
        </is>
      </c>
      <c r="F44" s="109" t="inlineStr">
        <is>
          <t>桁数/形式</t>
        </is>
      </c>
      <c r="G44" s="110" t="inlineStr">
        <is>
          <t>必須/任意</t>
        </is>
      </c>
      <c r="H44" s="110" t="inlineStr">
        <is>
          <t>備考</t>
        </is>
      </c>
      <c r="I44" s="111" t="n"/>
      <c r="J44" s="111" t="n"/>
      <c r="K44" s="111" t="n"/>
      <c r="L44" s="112" t="n"/>
    </row>
    <row r="45" ht="15.75" customHeight="1" s="158">
      <c r="B45" s="20" t="n"/>
      <c r="C45" s="20" t="n"/>
      <c r="D45" s="20" t="n"/>
      <c r="E45" s="20" t="n"/>
      <c r="F45" s="20" t="n"/>
      <c r="G45" s="20" t="n"/>
      <c r="H45" s="113" t="n"/>
      <c r="I45" s="114" t="n"/>
      <c r="J45" s="114" t="n"/>
      <c r="K45" s="114" t="n"/>
      <c r="L45" s="102" t="n"/>
    </row>
    <row r="46" ht="15.75" customHeight="1" s="158">
      <c r="B46" s="101" t="inlineStr">
        <is>
          <t>項目一覧  （表示情報)</t>
        </is>
      </c>
      <c r="C46" s="108" t="n"/>
      <c r="D46" s="108" t="n"/>
      <c r="E46" s="108" t="n"/>
      <c r="F46" s="108" t="n"/>
      <c r="G46" s="108" t="n"/>
      <c r="H46" s="105" t="n"/>
      <c r="I46" s="105" t="n"/>
      <c r="J46" s="105" t="n"/>
      <c r="K46" s="105" t="n"/>
      <c r="L46" s="106" t="n"/>
    </row>
    <row r="47" ht="15.75" customHeight="1" s="158">
      <c r="B47" s="131" t="inlineStr">
        <is>
          <t>大項目名</t>
        </is>
      </c>
      <c r="C47" s="116" t="inlineStr">
        <is>
          <t>小項目名</t>
        </is>
      </c>
      <c r="D47" s="110" t="inlineStr">
        <is>
          <t>内容</t>
        </is>
      </c>
      <c r="E47" s="111" t="n"/>
      <c r="F47" s="111" t="n"/>
      <c r="G47" s="112" t="n"/>
      <c r="H47" s="110" t="inlineStr">
        <is>
          <t>備考</t>
        </is>
      </c>
      <c r="I47" s="111" t="n"/>
      <c r="J47" s="111" t="n"/>
      <c r="K47" s="111" t="n"/>
      <c r="L47" s="112" t="n"/>
    </row>
    <row r="48" ht="15.75" customHeight="1" s="158">
      <c r="B48" s="120" t="n"/>
      <c r="C48" s="113" t="n"/>
      <c r="D48" s="121" t="n"/>
      <c r="E48" s="114" t="n"/>
      <c r="F48" s="114" t="n"/>
      <c r="G48" s="102" t="n"/>
      <c r="H48" s="113" t="n"/>
      <c r="I48" s="114" t="n"/>
      <c r="J48" s="114" t="n"/>
      <c r="K48" s="114" t="n"/>
      <c r="L48" s="102" t="n"/>
    </row>
    <row r="49" ht="15.75" customHeight="1" s="158">
      <c r="B49" s="123" t="n"/>
      <c r="C49" s="113" t="n"/>
      <c r="D49" s="122" t="n"/>
      <c r="E49" s="114" t="n"/>
      <c r="F49" s="114" t="n"/>
      <c r="G49" s="102" t="n"/>
      <c r="H49" s="113" t="n"/>
      <c r="I49" s="114" t="n"/>
      <c r="J49" s="114" t="n"/>
      <c r="K49" s="114" t="n"/>
      <c r="L49" s="102" t="n"/>
    </row>
    <row r="50" ht="15.75" customHeight="1" s="158">
      <c r="B50" s="120" t="n"/>
      <c r="C50" s="20" t="n"/>
      <c r="D50" s="121" t="n"/>
      <c r="E50" s="114" t="n"/>
      <c r="F50" s="114" t="n"/>
      <c r="G50" s="102" t="n"/>
      <c r="H50" s="113" t="n"/>
      <c r="I50" s="114" t="n"/>
      <c r="J50" s="114" t="n"/>
      <c r="K50" s="114" t="n"/>
      <c r="L50" s="102" t="n"/>
    </row>
    <row r="51" ht="15.75" customHeight="1" s="158">
      <c r="B51" s="120" t="n"/>
      <c r="C51" s="20" t="n"/>
      <c r="D51" s="121" t="n"/>
      <c r="E51" s="114" t="n"/>
      <c r="F51" s="114" t="n"/>
      <c r="G51" s="102" t="n"/>
      <c r="H51" s="113" t="n"/>
      <c r="I51" s="114" t="n"/>
      <c r="J51" s="114" t="n"/>
      <c r="K51" s="114" t="n"/>
      <c r="L51" s="102" t="n"/>
    </row>
    <row r="52" ht="15.75" customHeight="1" s="158">
      <c r="B52" s="120" t="n"/>
      <c r="C52" s="20" t="n"/>
      <c r="D52" s="121" t="n"/>
      <c r="E52" s="114" t="n"/>
      <c r="F52" s="114" t="n"/>
      <c r="G52" s="102" t="n"/>
      <c r="H52" s="113" t="n"/>
      <c r="I52" s="114" t="n"/>
      <c r="J52" s="114" t="n"/>
      <c r="K52" s="114" t="n"/>
      <c r="L52" s="102" t="n"/>
    </row>
    <row r="53" ht="15.75" customHeight="1" s="158">
      <c r="A53" s="40" t="n"/>
      <c r="B53" s="123" t="n"/>
      <c r="C53" s="20" t="n"/>
      <c r="D53" s="121" t="n"/>
      <c r="E53" s="114" t="n"/>
      <c r="F53" s="114" t="n"/>
      <c r="G53" s="102" t="n"/>
      <c r="H53" s="113" t="n"/>
      <c r="I53" s="114" t="n"/>
      <c r="J53" s="114" t="n"/>
      <c r="K53" s="114" t="n"/>
      <c r="L53" s="102" t="n"/>
    </row>
    <row r="54" ht="15.75" customHeight="1" s="158">
      <c r="B54" s="120" t="n"/>
      <c r="C54" s="20" t="n"/>
      <c r="D54" s="121" t="n"/>
      <c r="E54" s="114" t="n"/>
      <c r="F54" s="114" t="n"/>
      <c r="G54" s="102" t="n"/>
      <c r="H54" s="122" t="n"/>
      <c r="I54" s="114" t="n"/>
      <c r="J54" s="114" t="n"/>
      <c r="K54" s="114" t="n"/>
      <c r="L54" s="102" t="n"/>
    </row>
    <row r="55" ht="15.75" customHeight="1" s="158">
      <c r="A55" s="40" t="n"/>
      <c r="B55" s="101" t="inlineStr">
        <is>
          <t>項目一覧  （出力項目)</t>
        </is>
      </c>
      <c r="C55" s="108" t="n"/>
      <c r="D55" s="108" t="n"/>
      <c r="E55" s="108" t="n"/>
      <c r="F55" s="108" t="n"/>
      <c r="G55" s="108" t="n"/>
      <c r="H55" s="105" t="n"/>
      <c r="I55" s="105" t="n"/>
      <c r="J55" s="105" t="n"/>
      <c r="K55" s="105" t="n"/>
      <c r="L55" s="106" t="n"/>
    </row>
    <row r="56" ht="15.75" customHeight="1" s="158">
      <c r="A56" s="40" t="n"/>
      <c r="B56" s="131" t="inlineStr">
        <is>
          <t>大項目名</t>
        </is>
      </c>
      <c r="C56" s="116" t="inlineStr">
        <is>
          <t>小項目名</t>
        </is>
      </c>
      <c r="D56" s="110" t="inlineStr">
        <is>
          <t>内容</t>
        </is>
      </c>
      <c r="E56" s="111" t="n"/>
      <c r="F56" s="111" t="n"/>
      <c r="G56" s="112" t="n"/>
      <c r="H56" s="110" t="inlineStr">
        <is>
          <t>備考</t>
        </is>
      </c>
      <c r="I56" s="111" t="n"/>
      <c r="J56" s="111" t="n"/>
      <c r="K56" s="111" t="n"/>
      <c r="L56" s="112" t="n"/>
    </row>
    <row r="57" ht="15.75" customHeight="1" s="158">
      <c r="A57" s="40" t="n"/>
      <c r="B57" s="20" t="n"/>
      <c r="C57" s="113" t="n"/>
      <c r="D57" s="113" t="n"/>
      <c r="E57" s="114" t="n"/>
      <c r="F57" s="114" t="n"/>
      <c r="G57" s="102" t="n"/>
      <c r="H57" s="113" t="n"/>
      <c r="I57" s="114" t="n"/>
      <c r="J57" s="114" t="n"/>
      <c r="K57" s="114" t="n"/>
      <c r="L57" s="102" t="n"/>
    </row>
    <row r="58" ht="15.75" customHeight="1" s="158">
      <c r="A58" s="40" t="n"/>
      <c r="B58" s="101" t="inlineStr">
        <is>
          <t>アクション仕様</t>
        </is>
      </c>
      <c r="C58" s="108" t="n"/>
      <c r="D58" s="108" t="n"/>
      <c r="E58" s="108" t="n"/>
      <c r="F58" s="108" t="n"/>
      <c r="G58" s="108" t="n"/>
      <c r="H58" s="105" t="n"/>
      <c r="I58" s="105" t="n"/>
      <c r="J58" s="105" t="n"/>
      <c r="K58" s="105" t="n"/>
      <c r="L58" s="106" t="n"/>
    </row>
    <row r="59" ht="15.75" customHeight="1" s="158">
      <c r="A59" s="40" t="n"/>
      <c r="B59" s="110" t="inlineStr">
        <is>
          <t>アクション</t>
        </is>
      </c>
      <c r="C59" s="111" t="n"/>
      <c r="D59" s="111" t="n"/>
      <c r="E59" s="111" t="n"/>
      <c r="F59" s="111" t="n"/>
      <c r="G59" s="110" t="inlineStr">
        <is>
          <t>備考</t>
        </is>
      </c>
      <c r="H59" s="111" t="n"/>
      <c r="I59" s="111" t="n"/>
      <c r="J59" s="111" t="n"/>
      <c r="K59" s="111" t="n"/>
      <c r="L59" s="112" t="n"/>
    </row>
    <row r="60" ht="15.75" customHeight="1" s="158">
      <c r="B60" s="122" t="n"/>
      <c r="C60" s="114" t="n"/>
      <c r="D60" s="114" t="n"/>
      <c r="E60" s="114" t="n"/>
      <c r="F60" s="102" t="n"/>
      <c r="G60" s="113" t="n"/>
      <c r="H60" s="114" t="n"/>
      <c r="I60" s="114" t="n"/>
      <c r="J60" s="114" t="n"/>
      <c r="K60" s="114" t="n"/>
      <c r="L60" s="102" t="n"/>
    </row>
    <row r="61" ht="15.75" customHeight="1" s="158">
      <c r="A61" s="40" t="n"/>
      <c r="B61" s="122" t="n"/>
      <c r="C61" s="114" t="n"/>
      <c r="D61" s="114" t="n"/>
      <c r="E61" s="114" t="n"/>
      <c r="F61" s="102" t="n"/>
      <c r="G61" s="113" t="n"/>
      <c r="H61" s="114" t="n"/>
      <c r="I61" s="114" t="n"/>
      <c r="J61" s="114" t="n"/>
      <c r="K61" s="114" t="n"/>
      <c r="L61" s="102" t="n"/>
    </row>
    <row r="62" ht="15.75" customHeight="1" s="158">
      <c r="A62" s="40" t="n"/>
      <c r="B62" s="122" t="n"/>
      <c r="C62" s="114" t="n"/>
      <c r="D62" s="114" t="n"/>
      <c r="E62" s="114" t="n"/>
      <c r="F62" s="102" t="n"/>
      <c r="G62" s="122" t="n"/>
      <c r="H62" s="114" t="n"/>
      <c r="I62" s="114" t="n"/>
      <c r="J62" s="114" t="n"/>
      <c r="K62" s="114" t="n"/>
      <c r="L62" s="102" t="n"/>
    </row>
    <row r="63" ht="15.75" customHeight="1" s="158">
      <c r="B63" s="101" t="inlineStr">
        <is>
          <t>出力仕様（エラーメッセージ）</t>
        </is>
      </c>
      <c r="C63" s="108" t="n"/>
      <c r="D63" s="108" t="n"/>
      <c r="E63" s="108" t="n"/>
      <c r="F63" s="108" t="n"/>
      <c r="G63" s="108" t="n"/>
      <c r="H63" s="105" t="n"/>
      <c r="I63" s="105" t="n"/>
      <c r="J63" s="105" t="n"/>
      <c r="K63" s="105" t="n"/>
      <c r="L63" s="106" t="n"/>
    </row>
    <row r="64" ht="15.75" customHeight="1" s="158">
      <c r="A64" s="40" t="n"/>
      <c r="B64" s="110" t="inlineStr">
        <is>
          <t>エラーメッセージ</t>
        </is>
      </c>
      <c r="C64" s="111" t="n"/>
      <c r="D64" s="111" t="n"/>
      <c r="E64" s="111" t="n"/>
      <c r="F64" s="111" t="n"/>
      <c r="G64" s="110" t="inlineStr">
        <is>
          <t>備考</t>
        </is>
      </c>
      <c r="H64" s="111" t="n"/>
      <c r="I64" s="111" t="n"/>
      <c r="J64" s="111" t="n"/>
      <c r="K64" s="111" t="n"/>
      <c r="L64" s="112" t="n"/>
    </row>
    <row r="65" ht="15.75" customHeight="1" s="158">
      <c r="A65" s="40" t="n"/>
    </row>
    <row r="66" ht="15.75" customHeight="1" s="158">
      <c r="A66" s="40" t="n"/>
    </row>
    <row r="67" ht="15.75" customHeight="1" s="158"/>
    <row r="68" ht="15.75" customHeight="1" s="158"/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70C0"/>
    <outlinePr summaryBelow="0" summaryRight="0"/>
    <pageSetUpPr/>
  </sheetPr>
  <dimension ref="A1:V71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1.13" customWidth="1" style="158" min="2" max="22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Client)'!C4:C28,'[1]画面定義一覧　（From Client)'!B4:B28,"",0,1)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28" t="inlineStr">
        <is>
          <t>なし</t>
        </is>
      </c>
    </row>
    <row r="5" ht="15.75" customHeight="1" s="158"/>
    <row r="6" ht="15.75" customHeight="1" s="158"/>
    <row r="7" ht="15.75" customHeight="1" s="158"/>
    <row r="8" ht="15.75" customHeight="1" s="158">
      <c r="J8" s="40" t="n"/>
    </row>
    <row r="9" ht="15.75" customHeight="1" s="158"/>
    <row r="10" ht="15.75" customHeight="1" s="158"/>
    <row r="11" ht="15.75" customHeight="1" s="158"/>
    <row r="12" ht="15.75" customHeight="1" s="158"/>
    <row r="13" ht="15.75" customHeight="1" s="158"/>
    <row r="14" ht="15.75" customHeight="1" s="158"/>
    <row r="15" ht="15.75" customHeight="1" s="158"/>
    <row r="16" ht="15.75" customHeight="1" s="158">
      <c r="V16" s="128" t="n"/>
    </row>
    <row r="17" ht="15.75" customHeight="1" s="158">
      <c r="V17" s="128" t="n"/>
    </row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>
      <c r="V24" s="107" t="inlineStr">
        <is>
          <t>ホバーでフォロー解除ボタンに切り替え</t>
        </is>
      </c>
    </row>
    <row r="25" ht="15.75" customHeight="1" s="158"/>
    <row r="26" ht="15.75" customHeight="1" s="158"/>
    <row r="27" ht="15.75" customHeight="1" s="158"/>
    <row r="28" ht="15.75" customHeight="1" s="158"/>
    <row r="29" ht="15.75" customHeight="1" s="158">
      <c r="S29" s="40" t="n"/>
    </row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5.75" customHeight="1" s="158"/>
    <row r="36" ht="15.75" customHeight="1" s="158"/>
    <row r="37" ht="15.75" customHeight="1" s="158"/>
    <row r="38" ht="15.75" customHeight="1" s="158"/>
    <row r="39" ht="15.75" customHeight="1" s="158"/>
    <row r="40" ht="15.75" customHeight="1" s="158"/>
    <row r="41" ht="15.75" customHeight="1" s="158"/>
    <row r="42" ht="15.75" customHeight="1" s="158"/>
    <row r="43" ht="15.75" customHeight="1" s="158">
      <c r="B43" s="101" t="inlineStr">
        <is>
          <t>項目一覧 （入力項目）</t>
        </is>
      </c>
      <c r="C43" s="108" t="n"/>
      <c r="D43" s="108" t="n"/>
      <c r="E43" s="108" t="n"/>
      <c r="F43" s="108" t="n"/>
      <c r="G43" s="105" t="n"/>
      <c r="H43" s="105" t="n"/>
      <c r="I43" s="105" t="n"/>
      <c r="J43" s="105" t="n"/>
      <c r="K43" s="105" t="n"/>
      <c r="L43" s="106" t="n"/>
    </row>
    <row r="44" ht="15.75" customHeight="1" s="158">
      <c r="B44" s="109" t="inlineStr">
        <is>
          <t>大項目</t>
        </is>
      </c>
      <c r="C44" s="109" t="n"/>
      <c r="D44" s="109" t="inlineStr">
        <is>
          <t>項目名</t>
        </is>
      </c>
      <c r="E44" s="109" t="inlineStr">
        <is>
          <t>型</t>
        </is>
      </c>
      <c r="F44" s="109" t="inlineStr">
        <is>
          <t>桁数/形式</t>
        </is>
      </c>
      <c r="G44" s="110" t="inlineStr">
        <is>
          <t>必須/任意</t>
        </is>
      </c>
      <c r="H44" s="110" t="inlineStr">
        <is>
          <t>備考</t>
        </is>
      </c>
      <c r="I44" s="111" t="n"/>
      <c r="J44" s="111" t="n"/>
      <c r="K44" s="111" t="n"/>
      <c r="L44" s="112" t="n"/>
    </row>
    <row r="45" ht="15.75" customHeight="1" s="158">
      <c r="B45" s="20" t="n"/>
      <c r="C45" s="20" t="n"/>
      <c r="D45" s="20" t="n"/>
      <c r="E45" s="20" t="n"/>
      <c r="F45" s="20" t="n"/>
      <c r="G45" s="20" t="n"/>
      <c r="H45" s="113" t="n"/>
      <c r="I45" s="114" t="n"/>
      <c r="J45" s="114" t="n"/>
      <c r="K45" s="114" t="n"/>
      <c r="L45" s="102" t="n"/>
    </row>
    <row r="46" ht="15.75" customHeight="1" s="158">
      <c r="B46" s="101" t="inlineStr">
        <is>
          <t>項目一覧  （表示情報)</t>
        </is>
      </c>
      <c r="C46" s="108" t="n"/>
      <c r="D46" s="108" t="n"/>
      <c r="E46" s="108" t="n"/>
      <c r="F46" s="108" t="n"/>
      <c r="G46" s="108" t="n"/>
      <c r="H46" s="105" t="n"/>
      <c r="I46" s="105" t="n"/>
      <c r="J46" s="105" t="n"/>
      <c r="K46" s="105" t="n"/>
      <c r="L46" s="106" t="n"/>
    </row>
    <row r="47" ht="15.75" customHeight="1" s="158">
      <c r="B47" s="131" t="inlineStr">
        <is>
          <t>大項目名</t>
        </is>
      </c>
      <c r="C47" s="116" t="inlineStr">
        <is>
          <t>小項目名</t>
        </is>
      </c>
      <c r="D47" s="110" t="inlineStr">
        <is>
          <t>内容</t>
        </is>
      </c>
      <c r="E47" s="111" t="n"/>
      <c r="F47" s="111" t="n"/>
      <c r="G47" s="112" t="n"/>
      <c r="H47" s="110" t="inlineStr">
        <is>
          <t>備考</t>
        </is>
      </c>
      <c r="I47" s="111" t="n"/>
      <c r="J47" s="111" t="n"/>
      <c r="K47" s="111" t="n"/>
      <c r="L47" s="112" t="n"/>
    </row>
    <row r="48" ht="15.75" customHeight="1" s="158">
      <c r="B48" s="120" t="inlineStr">
        <is>
          <t>ラベル</t>
        </is>
      </c>
      <c r="C48" s="113" t="n"/>
      <c r="D48" s="121">
        <f>B48&amp;"を表示する"</f>
        <v/>
      </c>
      <c r="E48" s="114" t="n"/>
      <c r="F48" s="114" t="n"/>
      <c r="G48" s="102" t="n"/>
      <c r="H48" s="113" t="n"/>
      <c r="I48" s="114" t="n"/>
      <c r="J48" s="114" t="n"/>
      <c r="K48" s="114" t="n"/>
      <c r="L48" s="102" t="n"/>
    </row>
    <row r="49" ht="15.75" customHeight="1" s="158">
      <c r="B49" s="123" t="inlineStr">
        <is>
          <t>検索ボックス</t>
        </is>
      </c>
      <c r="C49" s="113" t="n"/>
      <c r="D49" s="121">
        <f>B49&amp;"を表示する"</f>
        <v/>
      </c>
      <c r="E49" s="114" t="n"/>
      <c r="F49" s="114" t="n"/>
      <c r="G49" s="102" t="n"/>
      <c r="H49" s="113" t="n"/>
      <c r="I49" s="114" t="n"/>
      <c r="J49" s="114" t="n"/>
      <c r="K49" s="114" t="n"/>
      <c r="L49" s="102" t="n"/>
    </row>
    <row r="50" ht="15.75" customHeight="1" s="158">
      <c r="B50" s="120" t="inlineStr">
        <is>
          <t>フォロー区分</t>
        </is>
      </c>
      <c r="C50" s="20" t="n"/>
      <c r="D50" s="121">
        <f>B50&amp;"を表示する"</f>
        <v/>
      </c>
      <c r="E50" s="114" t="n"/>
      <c r="F50" s="114" t="n"/>
      <c r="G50" s="102" t="n"/>
      <c r="H50" s="122" t="inlineStr">
        <is>
          <t>フォロー、フォロワー</t>
        </is>
      </c>
      <c r="I50" s="114" t="n"/>
      <c r="J50" s="114" t="n"/>
      <c r="K50" s="114" t="n"/>
      <c r="L50" s="102" t="n"/>
    </row>
    <row r="51" ht="15.75" customHeight="1" s="158">
      <c r="B51" s="120" t="inlineStr">
        <is>
          <t>公開区分</t>
        </is>
      </c>
      <c r="C51" s="20" t="n"/>
      <c r="D51" s="121">
        <f>B51&amp;"を表示する"</f>
        <v/>
      </c>
      <c r="E51" s="114" t="n"/>
      <c r="F51" s="114" t="n"/>
      <c r="G51" s="102" t="n"/>
      <c r="H51" s="122" t="inlineStr">
        <is>
          <t>フォロワー選択時は非表示</t>
        </is>
      </c>
      <c r="I51" s="114" t="n"/>
      <c r="J51" s="114" t="n"/>
      <c r="K51" s="114" t="n"/>
      <c r="L51" s="102" t="n"/>
    </row>
    <row r="52" ht="15.75" customHeight="1" s="158">
      <c r="B52" s="134" t="inlineStr">
        <is>
          <t>表示件数切替</t>
        </is>
      </c>
      <c r="C52" s="135" t="n"/>
      <c r="D52" s="136" t="n"/>
      <c r="E52" s="137" t="n"/>
      <c r="F52" s="137" t="n"/>
      <c r="G52" s="138" t="n"/>
      <c r="H52" s="139" t="n"/>
      <c r="I52" s="137" t="n"/>
      <c r="J52" s="137" t="n"/>
      <c r="K52" s="137" t="n"/>
      <c r="L52" s="138" t="n"/>
    </row>
    <row r="53" ht="15" customHeight="1" s="158">
      <c r="B53" s="140" t="inlineStr">
        <is>
          <t>フォロー/フォロワー表示エリア</t>
        </is>
      </c>
      <c r="C53" s="141" t="n"/>
      <c r="D53" s="142" t="n"/>
      <c r="E53" s="141" t="n"/>
      <c r="F53" s="141" t="n"/>
      <c r="G53" s="141" t="n"/>
      <c r="H53" s="141" t="n"/>
      <c r="I53" s="141" t="n"/>
      <c r="J53" s="141" t="n"/>
      <c r="K53" s="141" t="n"/>
      <c r="L53" s="143" t="n"/>
    </row>
    <row r="54" ht="15.75" customHeight="1" s="158">
      <c r="A54" s="40" t="n"/>
      <c r="B54" s="144" t="inlineStr">
        <is>
          <t>アイコン</t>
        </is>
      </c>
      <c r="C54" s="145" t="n"/>
      <c r="D54" s="146">
        <f>B54&amp;"を表示する"</f>
        <v/>
      </c>
      <c r="E54" s="147" t="n"/>
      <c r="F54" s="147" t="n"/>
      <c r="G54" s="148" t="n"/>
      <c r="H54" s="149" t="n"/>
      <c r="I54" s="147" t="n"/>
      <c r="J54" s="147" t="n"/>
      <c r="K54" s="147" t="n"/>
      <c r="L54" s="148" t="n"/>
    </row>
    <row r="55" ht="15.75" customHeight="1" s="158">
      <c r="A55" s="40" t="n"/>
      <c r="B55" s="123" t="inlineStr">
        <is>
          <t>ユーザー名</t>
        </is>
      </c>
      <c r="C55" s="20" t="n"/>
      <c r="D55" s="121">
        <f>B55&amp;"を表示する"</f>
        <v/>
      </c>
      <c r="E55" s="114" t="n"/>
      <c r="F55" s="114" t="n"/>
      <c r="G55" s="102" t="n"/>
      <c r="H55" s="113" t="n"/>
      <c r="I55" s="114" t="n"/>
      <c r="J55" s="114" t="n"/>
      <c r="K55" s="114" t="n"/>
      <c r="L55" s="102" t="n"/>
    </row>
    <row r="56" ht="15.75" customHeight="1" s="158">
      <c r="A56" s="40" t="n"/>
      <c r="B56" s="123" t="inlineStr">
        <is>
          <t>ユーザーID</t>
        </is>
      </c>
      <c r="C56" s="20" t="n"/>
      <c r="D56" s="121">
        <f>B56&amp;"を表示する"</f>
        <v/>
      </c>
      <c r="E56" s="114" t="n"/>
      <c r="F56" s="114" t="n"/>
      <c r="G56" s="102" t="n"/>
      <c r="H56" s="113" t="n"/>
      <c r="I56" s="114" t="n"/>
      <c r="J56" s="114" t="n"/>
      <c r="K56" s="114" t="n"/>
      <c r="L56" s="102" t="n"/>
    </row>
    <row r="57" ht="15.75" customHeight="1" s="158">
      <c r="B57" s="120" t="inlineStr">
        <is>
          <t>プロフィール内容</t>
        </is>
      </c>
      <c r="C57" s="20" t="n"/>
      <c r="D57" s="121">
        <f>B57&amp;"を表示する"</f>
        <v/>
      </c>
      <c r="E57" s="114" t="n"/>
      <c r="F57" s="114" t="n"/>
      <c r="G57" s="102" t="n"/>
      <c r="H57" s="122" t="n"/>
      <c r="I57" s="114" t="n"/>
      <c r="J57" s="114" t="n"/>
      <c r="K57" s="114" t="n"/>
      <c r="L57" s="102" t="n"/>
    </row>
    <row r="58" ht="15.75" customHeight="1" s="158">
      <c r="B58" s="120" t="inlineStr">
        <is>
          <t>非公開にする</t>
        </is>
      </c>
      <c r="C58" s="20" t="n"/>
      <c r="D58" s="121">
        <f>B58&amp;"ボタンを表示する"</f>
        <v/>
      </c>
      <c r="E58" s="114" t="n"/>
      <c r="F58" s="114" t="n"/>
      <c r="G58" s="102" t="n"/>
      <c r="H58" s="122" t="inlineStr">
        <is>
          <t>フォロー区分「フォロー」選択の場合のみ表示し、押下で非表示フォロー処理を実施する</t>
        </is>
      </c>
      <c r="I58" s="114" t="n"/>
      <c r="J58" s="114" t="n"/>
      <c r="K58" s="114" t="n"/>
      <c r="L58" s="102" t="n"/>
    </row>
    <row r="59" ht="15.75" customHeight="1" s="158">
      <c r="B59" s="122" t="inlineStr">
        <is>
          <t>フォローステータス</t>
        </is>
      </c>
      <c r="C59" s="20" t="n"/>
      <c r="D59" s="121">
        <f>B59&amp;"ボタンを表示する"</f>
        <v/>
      </c>
      <c r="E59" s="114" t="n"/>
      <c r="F59" s="114" t="n"/>
      <c r="G59" s="102" t="n"/>
      <c r="H59" s="122" t="inlineStr">
        <is>
          <t>フォロー中の場合はホバーで「フォロー解除」ボタンに切り替わり、押下で解除処理を実行</t>
        </is>
      </c>
      <c r="I59" s="114" t="n"/>
      <c r="J59" s="114" t="n"/>
      <c r="K59" s="114" t="n"/>
      <c r="L59" s="102" t="n"/>
    </row>
    <row r="60" ht="15.75" customHeight="1" s="158">
      <c r="B60" s="117" t="n"/>
      <c r="C60" s="150" t="n"/>
      <c r="D60" s="151" t="n"/>
      <c r="E60" s="150" t="n"/>
      <c r="F60" s="150" t="n"/>
      <c r="G60" s="150" t="n"/>
      <c r="H60" s="150" t="n"/>
      <c r="I60" s="150" t="n"/>
      <c r="J60" s="150" t="n"/>
      <c r="K60" s="150" t="n"/>
      <c r="L60" s="152" t="n"/>
    </row>
    <row r="61" ht="15.75" customHeight="1" s="158">
      <c r="B61" s="122" t="inlineStr">
        <is>
          <t>ページネーション</t>
        </is>
      </c>
      <c r="C61" s="20" t="n"/>
      <c r="D61" s="121" t="n"/>
      <c r="E61" s="114" t="n"/>
      <c r="F61" s="114" t="n"/>
      <c r="G61" s="102" t="n"/>
      <c r="H61" s="122" t="n"/>
      <c r="I61" s="114" t="n"/>
      <c r="J61" s="114" t="n"/>
      <c r="K61" s="114" t="n"/>
      <c r="L61" s="102" t="n"/>
    </row>
    <row r="62" ht="15.75" customHeight="1" s="158">
      <c r="A62" s="40" t="n"/>
      <c r="B62" s="101" t="inlineStr">
        <is>
          <t>項目一覧  （出力項目)</t>
        </is>
      </c>
      <c r="C62" s="108" t="n"/>
      <c r="D62" s="108" t="n"/>
      <c r="E62" s="108" t="n"/>
      <c r="F62" s="108" t="n"/>
      <c r="G62" s="108" t="n"/>
      <c r="H62" s="105" t="n"/>
      <c r="I62" s="105" t="n"/>
      <c r="J62" s="105" t="n"/>
      <c r="K62" s="105" t="n"/>
      <c r="L62" s="106" t="n"/>
    </row>
    <row r="63" ht="15.75" customHeight="1" s="158">
      <c r="A63" s="40" t="n"/>
      <c r="B63" s="131" t="inlineStr">
        <is>
          <t>大項目名</t>
        </is>
      </c>
      <c r="C63" s="116" t="inlineStr">
        <is>
          <t>小項目名</t>
        </is>
      </c>
      <c r="D63" s="110" t="inlineStr">
        <is>
          <t>内容</t>
        </is>
      </c>
      <c r="E63" s="111" t="n"/>
      <c r="F63" s="111" t="n"/>
      <c r="G63" s="112" t="n"/>
      <c r="H63" s="110" t="inlineStr">
        <is>
          <t>備考</t>
        </is>
      </c>
      <c r="I63" s="111" t="n"/>
      <c r="J63" s="111" t="n"/>
      <c r="K63" s="111" t="n"/>
      <c r="L63" s="112" t="n"/>
    </row>
    <row r="64" ht="15.75" customHeight="1" s="158">
      <c r="A64" s="40" t="n"/>
      <c r="B64" s="20" t="n"/>
      <c r="C64" s="113" t="n"/>
      <c r="D64" s="113" t="n"/>
      <c r="E64" s="114" t="n"/>
      <c r="F64" s="114" t="n"/>
      <c r="G64" s="102" t="n"/>
      <c r="H64" s="113" t="n"/>
      <c r="I64" s="114" t="n"/>
      <c r="J64" s="114" t="n"/>
      <c r="K64" s="114" t="n"/>
      <c r="L64" s="102" t="n"/>
    </row>
    <row r="65" ht="15.75" customHeight="1" s="158">
      <c r="A65" s="40" t="n"/>
      <c r="B65" s="101" t="inlineStr">
        <is>
          <t>アクション仕様</t>
        </is>
      </c>
      <c r="C65" s="108" t="n"/>
      <c r="D65" s="108" t="n"/>
      <c r="E65" s="108" t="n"/>
      <c r="F65" s="108" t="n"/>
      <c r="G65" s="108" t="n"/>
      <c r="H65" s="105" t="n"/>
      <c r="I65" s="105" t="n"/>
      <c r="J65" s="105" t="n"/>
      <c r="K65" s="105" t="n"/>
      <c r="L65" s="106" t="n"/>
    </row>
    <row r="66" ht="15.75" customHeight="1" s="158">
      <c r="A66" s="40" t="n"/>
      <c r="B66" s="110" t="inlineStr">
        <is>
          <t>アクション</t>
        </is>
      </c>
      <c r="C66" s="111" t="n"/>
      <c r="D66" s="111" t="n"/>
      <c r="E66" s="111" t="n"/>
      <c r="F66" s="111" t="n"/>
      <c r="G66" s="110" t="inlineStr">
        <is>
          <t>備考</t>
        </is>
      </c>
      <c r="H66" s="111" t="n"/>
      <c r="I66" s="111" t="n"/>
      <c r="J66" s="111" t="n"/>
      <c r="K66" s="111" t="n"/>
      <c r="L66" s="112" t="n"/>
    </row>
    <row r="67" ht="15.75" customHeight="1" s="158">
      <c r="B67" s="122" t="n"/>
      <c r="C67" s="114" t="n"/>
      <c r="D67" s="114" t="n"/>
      <c r="E67" s="114" t="n"/>
      <c r="F67" s="102" t="n"/>
      <c r="G67" s="113" t="n"/>
      <c r="H67" s="114" t="n"/>
      <c r="I67" s="114" t="n"/>
      <c r="J67" s="114" t="n"/>
      <c r="K67" s="114" t="n"/>
      <c r="L67" s="102" t="n"/>
    </row>
    <row r="68" ht="15.75" customHeight="1" s="158">
      <c r="B68" s="101" t="inlineStr">
        <is>
          <t>出力仕様（エラーメッセージ）</t>
        </is>
      </c>
      <c r="C68" s="108" t="n"/>
      <c r="D68" s="108" t="n"/>
      <c r="E68" s="108" t="n"/>
      <c r="F68" s="108" t="n"/>
      <c r="G68" s="108" t="n"/>
      <c r="H68" s="105" t="n"/>
      <c r="I68" s="105" t="n"/>
      <c r="J68" s="105" t="n"/>
      <c r="K68" s="105" t="n"/>
      <c r="L68" s="106" t="n"/>
    </row>
    <row r="69" ht="15.75" customHeight="1" s="158">
      <c r="A69" s="40" t="n"/>
      <c r="B69" s="110" t="inlineStr">
        <is>
          <t>エラーメッセージ</t>
        </is>
      </c>
      <c r="C69" s="111" t="n"/>
      <c r="D69" s="111" t="n"/>
      <c r="E69" s="111" t="n"/>
      <c r="F69" s="111" t="n"/>
      <c r="G69" s="110" t="inlineStr">
        <is>
          <t>備考</t>
        </is>
      </c>
      <c r="H69" s="111" t="n"/>
      <c r="I69" s="111" t="n"/>
      <c r="J69" s="111" t="n"/>
      <c r="K69" s="111" t="n"/>
      <c r="L69" s="112" t="n"/>
    </row>
    <row r="70" ht="15.75" customHeight="1" s="158">
      <c r="A70" s="40" t="n"/>
      <c r="B70" s="122" t="n"/>
      <c r="C70" s="114" t="n"/>
      <c r="D70" s="114" t="n"/>
      <c r="E70" s="114" t="n"/>
      <c r="F70" s="102" t="n"/>
      <c r="G70" s="113" t="n"/>
      <c r="H70" s="114" t="n"/>
      <c r="I70" s="114" t="n"/>
      <c r="J70" s="114" t="n"/>
      <c r="K70" s="114" t="n"/>
      <c r="L70" s="102" t="n"/>
    </row>
    <row r="71" ht="15.75" customHeight="1" s="158">
      <c r="A71" s="40" t="n"/>
    </row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0070C0"/>
    <outlinePr summaryBelow="0" summaryRight="0"/>
    <pageSetUpPr/>
  </sheetPr>
  <dimension ref="A1:AE56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1.13" customWidth="1" style="158" min="2" max="31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Client)'!C4:C28,'[1]画面定義一覧　（From Client)'!B4:B28,"",0,1)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53" t="inlineStr">
        <is>
          <t>タイプの絞りは必要か。作品検索画面の想定だが、ユーザの検索はこちらではできない想定。その他のフィルタ条件との矛盾も発生している。また作品には「商業実績」に関する設定項目はないため、絞込からも削除して問題ないか。</t>
        </is>
      </c>
      <c r="V4" s="107" t="n"/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/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>
      <c r="M26" s="107" t="n"/>
    </row>
    <row r="27" ht="15.75" customHeight="1" s="158"/>
    <row r="28" ht="15.75" customHeight="1" s="158">
      <c r="AE28" s="128" t="n"/>
    </row>
    <row r="29" ht="15.75" customHeight="1" s="158"/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5.75" customHeight="1" s="158"/>
    <row r="36" ht="15.75" customHeight="1" s="158">
      <c r="B36" s="101" t="inlineStr">
        <is>
          <t>項目一覧 （入力項目）</t>
        </is>
      </c>
      <c r="C36" s="108" t="n"/>
      <c r="D36" s="108" t="n"/>
      <c r="E36" s="108" t="n"/>
      <c r="F36" s="108" t="n"/>
      <c r="G36" s="105" t="n"/>
      <c r="H36" s="105" t="n"/>
      <c r="I36" s="105" t="n"/>
      <c r="J36" s="105" t="n"/>
      <c r="K36" s="105" t="n"/>
      <c r="L36" s="106" t="n"/>
    </row>
    <row r="37" ht="15.75" customHeight="1" s="158">
      <c r="B37" s="109" t="inlineStr">
        <is>
          <t>大項目</t>
        </is>
      </c>
      <c r="C37" s="109" t="n"/>
      <c r="D37" s="109" t="inlineStr">
        <is>
          <t>項目名</t>
        </is>
      </c>
      <c r="E37" s="109" t="inlineStr">
        <is>
          <t>型</t>
        </is>
      </c>
      <c r="F37" s="109" t="inlineStr">
        <is>
          <t>桁数/形式</t>
        </is>
      </c>
      <c r="G37" s="110" t="inlineStr">
        <is>
          <t>必須/任意</t>
        </is>
      </c>
      <c r="H37" s="110" t="inlineStr">
        <is>
          <t>備考</t>
        </is>
      </c>
      <c r="I37" s="111" t="n"/>
      <c r="J37" s="111" t="n"/>
      <c r="K37" s="111" t="n"/>
      <c r="L37" s="112" t="n"/>
    </row>
    <row r="38" ht="15.75" customHeight="1" s="158">
      <c r="B38" s="20" t="n"/>
      <c r="C38" s="20" t="n"/>
      <c r="D38" s="20" t="n"/>
      <c r="E38" s="20" t="n"/>
      <c r="F38" s="20" t="n"/>
      <c r="G38" s="20" t="n"/>
      <c r="H38" s="113" t="n"/>
      <c r="I38" s="114" t="n"/>
      <c r="J38" s="114" t="n"/>
      <c r="K38" s="114" t="n"/>
      <c r="L38" s="102" t="n"/>
    </row>
    <row r="39" ht="15.75" customHeight="1" s="158">
      <c r="B39" s="101" t="inlineStr">
        <is>
          <t>項目一覧  （表示情報)</t>
        </is>
      </c>
      <c r="C39" s="108" t="n"/>
      <c r="D39" s="108" t="n"/>
      <c r="E39" s="108" t="n"/>
      <c r="F39" s="108" t="n"/>
      <c r="G39" s="108" t="n"/>
      <c r="H39" s="105" t="n"/>
      <c r="I39" s="105" t="n"/>
      <c r="J39" s="105" t="n"/>
      <c r="K39" s="105" t="n"/>
      <c r="L39" s="106" t="n"/>
    </row>
    <row r="40" ht="15.75" customHeight="1" s="158">
      <c r="B40" s="131" t="inlineStr">
        <is>
          <t>大項目名</t>
        </is>
      </c>
      <c r="C40" s="116" t="inlineStr">
        <is>
          <t>小項目名</t>
        </is>
      </c>
      <c r="D40" s="110" t="inlineStr">
        <is>
          <t>内容</t>
        </is>
      </c>
      <c r="E40" s="111" t="n"/>
      <c r="F40" s="111" t="n"/>
      <c r="G40" s="112" t="n"/>
      <c r="H40" s="110" t="inlineStr">
        <is>
          <t>備考</t>
        </is>
      </c>
      <c r="I40" s="111" t="n"/>
      <c r="J40" s="111" t="n"/>
      <c r="K40" s="111" t="n"/>
      <c r="L40" s="112" t="n"/>
    </row>
    <row r="41" ht="15.75" customHeight="1" s="158">
      <c r="B41" s="120" t="inlineStr">
        <is>
          <t>タグ</t>
        </is>
      </c>
      <c r="C41" s="113" t="n"/>
      <c r="D41" s="121">
        <f>B41&amp;"を表示する"</f>
        <v/>
      </c>
      <c r="E41" s="114" t="n"/>
      <c r="F41" s="114" t="n"/>
      <c r="G41" s="102" t="n"/>
      <c r="H41" s="113" t="n"/>
      <c r="I41" s="114" t="n"/>
      <c r="J41" s="114" t="n"/>
      <c r="K41" s="114" t="n"/>
      <c r="L41" s="102" t="n"/>
    </row>
    <row r="42" ht="15.75" customHeight="1" s="158">
      <c r="B42" s="123" t="inlineStr">
        <is>
          <t>ファイル種別タブ</t>
        </is>
      </c>
      <c r="C42" s="113" t="n"/>
      <c r="D42" s="121">
        <f>B42&amp;"を表示する"</f>
        <v/>
      </c>
      <c r="E42" s="114" t="n"/>
      <c r="F42" s="114" t="n"/>
      <c r="G42" s="102" t="n"/>
      <c r="H42" s="113" t="n"/>
      <c r="I42" s="114" t="n"/>
      <c r="J42" s="114" t="n"/>
      <c r="K42" s="114" t="n"/>
      <c r="L42" s="102" t="n"/>
    </row>
    <row r="43" ht="15.75" customHeight="1" s="158">
      <c r="B43" s="120" t="inlineStr">
        <is>
          <t>検索フィルタボタン</t>
        </is>
      </c>
      <c r="C43" s="20" t="n"/>
      <c r="D43" s="121">
        <f>B43&amp;"（モーダル）を表示する"</f>
        <v/>
      </c>
      <c r="E43" s="114" t="n"/>
      <c r="F43" s="114" t="n"/>
      <c r="G43" s="102" t="n"/>
      <c r="H43" s="113" t="n"/>
      <c r="I43" s="114" t="n"/>
      <c r="J43" s="114" t="n"/>
      <c r="K43" s="114" t="n"/>
      <c r="L43" s="102" t="n"/>
    </row>
    <row r="44" ht="15.75" customHeight="1" s="158">
      <c r="B44" s="134" t="inlineStr">
        <is>
          <t>表氏件数切替</t>
        </is>
      </c>
      <c r="C44" s="138" t="n"/>
      <c r="D44" s="136" t="n"/>
      <c r="E44" s="137" t="n"/>
      <c r="F44" s="137" t="n"/>
      <c r="G44" s="138" t="n"/>
      <c r="H44" s="139" t="n"/>
      <c r="I44" s="137" t="n"/>
      <c r="J44" s="137" t="n"/>
      <c r="K44" s="137" t="n"/>
      <c r="L44" s="138" t="n"/>
    </row>
    <row r="45" ht="15.75" customHeight="1" s="158">
      <c r="B45" s="117" t="inlineStr">
        <is>
          <t>表示領域</t>
        </is>
      </c>
      <c r="C45" s="150" t="n"/>
      <c r="D45" s="151" t="n"/>
      <c r="E45" s="150" t="n"/>
      <c r="F45" s="150" t="n"/>
      <c r="G45" s="150" t="n"/>
      <c r="H45" s="150" t="n"/>
      <c r="I45" s="150" t="n"/>
      <c r="J45" s="150" t="n"/>
      <c r="K45" s="150" t="n"/>
      <c r="L45" s="152" t="n"/>
    </row>
    <row r="46" ht="15.75" customHeight="1" s="158">
      <c r="A46" s="40" t="n"/>
      <c r="B46" s="144" t="inlineStr">
        <is>
          <t>ページネーション</t>
        </is>
      </c>
      <c r="C46" s="145" t="n"/>
      <c r="D46" s="146" t="n"/>
      <c r="E46" s="147" t="n"/>
      <c r="F46" s="147" t="n"/>
      <c r="G46" s="148" t="n"/>
      <c r="H46" s="149" t="n"/>
      <c r="I46" s="147" t="n"/>
      <c r="J46" s="147" t="n"/>
      <c r="K46" s="147" t="n"/>
      <c r="L46" s="148" t="n"/>
    </row>
    <row r="47" ht="15.75" customHeight="1" s="158">
      <c r="A47" s="40" t="n"/>
      <c r="B47" s="101" t="inlineStr">
        <is>
          <t>項目一覧  （出力項目)</t>
        </is>
      </c>
      <c r="C47" s="108" t="n"/>
      <c r="D47" s="108" t="n"/>
      <c r="E47" s="108" t="n"/>
      <c r="F47" s="108" t="n"/>
      <c r="G47" s="108" t="n"/>
      <c r="H47" s="105" t="n"/>
      <c r="I47" s="105" t="n"/>
      <c r="J47" s="105" t="n"/>
      <c r="K47" s="105" t="n"/>
      <c r="L47" s="106" t="n"/>
    </row>
    <row r="48" ht="15.75" customHeight="1" s="158">
      <c r="A48" s="40" t="n"/>
      <c r="B48" s="131" t="inlineStr">
        <is>
          <t>大項目名</t>
        </is>
      </c>
      <c r="C48" s="116" t="inlineStr">
        <is>
          <t>小項目名</t>
        </is>
      </c>
      <c r="D48" s="110" t="inlineStr">
        <is>
          <t>内容</t>
        </is>
      </c>
      <c r="E48" s="111" t="n"/>
      <c r="F48" s="111" t="n"/>
      <c r="G48" s="112" t="n"/>
      <c r="H48" s="110" t="inlineStr">
        <is>
          <t>備考</t>
        </is>
      </c>
      <c r="I48" s="111" t="n"/>
      <c r="J48" s="111" t="n"/>
      <c r="K48" s="111" t="n"/>
      <c r="L48" s="112" t="n"/>
    </row>
    <row r="49" ht="15.75" customHeight="1" s="158">
      <c r="A49" s="40" t="n"/>
      <c r="B49" s="20" t="n"/>
      <c r="C49" s="113" t="n"/>
      <c r="D49" s="113" t="n"/>
      <c r="E49" s="114" t="n"/>
      <c r="F49" s="114" t="n"/>
      <c r="G49" s="102" t="n"/>
      <c r="H49" s="113" t="n"/>
      <c r="I49" s="114" t="n"/>
      <c r="J49" s="114" t="n"/>
      <c r="K49" s="114" t="n"/>
      <c r="L49" s="102" t="n"/>
    </row>
    <row r="50" ht="15.75" customHeight="1" s="158">
      <c r="A50" s="40" t="n"/>
      <c r="B50" s="101" t="inlineStr">
        <is>
          <t>アクション仕様</t>
        </is>
      </c>
      <c r="C50" s="108" t="n"/>
      <c r="D50" s="108" t="n"/>
      <c r="E50" s="108" t="n"/>
      <c r="F50" s="108" t="n"/>
      <c r="G50" s="108" t="n"/>
      <c r="H50" s="105" t="n"/>
      <c r="I50" s="105" t="n"/>
      <c r="J50" s="105" t="n"/>
      <c r="K50" s="105" t="n"/>
      <c r="L50" s="106" t="n"/>
    </row>
    <row r="51" ht="15.75" customHeight="1" s="158">
      <c r="A51" s="40" t="n"/>
      <c r="B51" s="110" t="inlineStr">
        <is>
          <t>アクション</t>
        </is>
      </c>
      <c r="C51" s="111" t="n"/>
      <c r="D51" s="111" t="n"/>
      <c r="E51" s="111" t="n"/>
      <c r="F51" s="111" t="n"/>
      <c r="G51" s="110" t="inlineStr">
        <is>
          <t>備考</t>
        </is>
      </c>
      <c r="H51" s="111" t="n"/>
      <c r="I51" s="111" t="n"/>
      <c r="J51" s="111" t="n"/>
      <c r="K51" s="111" t="n"/>
      <c r="L51" s="112" t="n"/>
    </row>
    <row r="52" ht="15.75" customHeight="1" s="158">
      <c r="B52" s="122" t="n"/>
      <c r="C52" s="114" t="n"/>
      <c r="D52" s="114" t="n"/>
      <c r="E52" s="114" t="n"/>
      <c r="F52" s="102" t="n"/>
      <c r="G52" s="113" t="n"/>
      <c r="H52" s="114" t="n"/>
      <c r="I52" s="114" t="n"/>
      <c r="J52" s="114" t="n"/>
      <c r="K52" s="114" t="n"/>
      <c r="L52" s="102" t="n"/>
    </row>
    <row r="53" ht="15.75" customHeight="1" s="158">
      <c r="B53" s="101" t="inlineStr">
        <is>
          <t>出力仕様（エラーメッセージ）</t>
        </is>
      </c>
      <c r="C53" s="108" t="n"/>
      <c r="D53" s="108" t="n"/>
      <c r="E53" s="108" t="n"/>
      <c r="F53" s="108" t="n"/>
      <c r="G53" s="108" t="n"/>
      <c r="H53" s="105" t="n"/>
      <c r="I53" s="105" t="n"/>
      <c r="J53" s="105" t="n"/>
      <c r="K53" s="105" t="n"/>
      <c r="L53" s="106" t="n"/>
    </row>
    <row r="54" ht="15.75" customHeight="1" s="158">
      <c r="A54" s="40" t="n"/>
      <c r="B54" s="110" t="inlineStr">
        <is>
          <t>エラーメッセージ</t>
        </is>
      </c>
      <c r="C54" s="111" t="n"/>
      <c r="D54" s="111" t="n"/>
      <c r="E54" s="111" t="n"/>
      <c r="F54" s="111" t="n"/>
      <c r="G54" s="110" t="inlineStr">
        <is>
          <t>備考</t>
        </is>
      </c>
      <c r="H54" s="111" t="n"/>
      <c r="I54" s="111" t="n"/>
      <c r="J54" s="111" t="n"/>
      <c r="K54" s="111" t="n"/>
      <c r="L54" s="112" t="n"/>
    </row>
    <row r="55" ht="15.75" customHeight="1" s="158">
      <c r="B55" s="122" t="n"/>
      <c r="C55" s="114" t="n"/>
      <c r="D55" s="114" t="n"/>
      <c r="E55" s="114" t="n"/>
      <c r="F55" s="102" t="n"/>
      <c r="G55" s="113" t="n"/>
      <c r="H55" s="114" t="n"/>
      <c r="I55" s="114" t="n"/>
      <c r="J55" s="114" t="n"/>
      <c r="K55" s="114" t="n"/>
      <c r="L55" s="102" t="n"/>
    </row>
    <row r="56" ht="15.75" customHeight="1" s="158">
      <c r="A56" s="40" t="n"/>
    </row>
    <row r="57" ht="15.75" customHeight="1" s="158"/>
    <row r="58" ht="15.75" customHeight="1" s="158"/>
    <row r="59" ht="15.75" customHeight="1" s="158"/>
    <row r="60" ht="15.75" customHeight="1" s="158"/>
    <row r="61" ht="15.75" customHeight="1" s="158"/>
    <row r="62" ht="15.75" customHeight="1" s="158"/>
    <row r="63" ht="15.75" customHeight="1" s="158"/>
    <row r="64" ht="15.75" customHeight="1" s="158"/>
    <row r="65" ht="15.75" customHeight="1" s="158"/>
    <row r="66" ht="15.75" customHeight="1" s="158"/>
    <row r="67" ht="15.75" customHeight="1" s="158"/>
    <row r="68" ht="15.75" customHeight="1" s="158"/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FFFF00"/>
    <outlinePr summaryBelow="0" summaryRight="0"/>
    <pageSetUpPr/>
  </sheetPr>
  <dimension ref="A1:N66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1.13" customWidth="1" style="158" min="2" max="14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Client)'!C4:C28,'[1]画面定義一覧　（From Client)'!B4:B28,"",0,1)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"'!A1",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/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/>
    <row r="28" ht="15.75" customHeight="1" s="158"/>
    <row r="29" ht="15.75" customHeight="1" s="158"/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5.75" customHeight="1" s="158"/>
    <row r="36" ht="15.75" customHeight="1" s="158"/>
    <row r="37" ht="15.75" customHeight="1" s="158"/>
    <row r="38" ht="15.75" customHeight="1" s="158"/>
    <row r="39" ht="15.75" customHeight="1" s="158"/>
    <row r="40" ht="15.75" customHeight="1" s="158"/>
    <row r="41" ht="15.75" customHeight="1" s="158"/>
    <row r="42" ht="15.75" customHeight="1" s="158"/>
    <row r="43" ht="15.75" customHeight="1" s="158">
      <c r="B43" s="101" t="inlineStr">
        <is>
          <t>項目一覧 （入力項目）</t>
        </is>
      </c>
      <c r="C43" s="108" t="n"/>
      <c r="D43" s="108" t="n"/>
      <c r="E43" s="108" t="n"/>
      <c r="F43" s="108" t="n"/>
      <c r="G43" s="105" t="n"/>
      <c r="H43" s="105" t="n"/>
      <c r="I43" s="105" t="n"/>
      <c r="J43" s="105" t="n"/>
      <c r="K43" s="105" t="n"/>
      <c r="L43" s="106" t="n"/>
    </row>
    <row r="44" ht="15.75" customHeight="1" s="158">
      <c r="B44" s="109" t="inlineStr">
        <is>
          <t>大項目</t>
        </is>
      </c>
      <c r="C44" s="109" t="n"/>
      <c r="D44" s="109" t="inlineStr">
        <is>
          <t>項目名</t>
        </is>
      </c>
      <c r="E44" s="109" t="inlineStr">
        <is>
          <t>型</t>
        </is>
      </c>
      <c r="F44" s="109" t="inlineStr">
        <is>
          <t>桁数/形式</t>
        </is>
      </c>
      <c r="G44" s="110" t="inlineStr">
        <is>
          <t>必須/任意</t>
        </is>
      </c>
      <c r="H44" s="110" t="inlineStr">
        <is>
          <t>備考</t>
        </is>
      </c>
      <c r="I44" s="111" t="n"/>
      <c r="J44" s="111" t="n"/>
      <c r="K44" s="111" t="n"/>
      <c r="L44" s="112" t="n"/>
    </row>
    <row r="45" ht="15.75" customHeight="1" s="158">
      <c r="B45" s="20" t="n"/>
      <c r="C45" s="20" t="n"/>
      <c r="D45" s="20" t="n"/>
      <c r="E45" s="20" t="n"/>
      <c r="F45" s="20" t="n"/>
      <c r="G45" s="20" t="n"/>
      <c r="H45" s="113" t="n"/>
      <c r="I45" s="114" t="n"/>
      <c r="J45" s="114" t="n"/>
      <c r="K45" s="114" t="n"/>
      <c r="L45" s="102" t="n"/>
    </row>
    <row r="46" ht="15.75" customHeight="1" s="158">
      <c r="B46" s="101" t="inlineStr">
        <is>
          <t>項目一覧  （表示情報)</t>
        </is>
      </c>
      <c r="C46" s="108" t="n"/>
      <c r="D46" s="108" t="n"/>
      <c r="E46" s="108" t="n"/>
      <c r="F46" s="108" t="n"/>
      <c r="G46" s="108" t="n"/>
      <c r="H46" s="105" t="n"/>
      <c r="I46" s="105" t="n"/>
      <c r="J46" s="105" t="n"/>
      <c r="K46" s="105" t="n"/>
      <c r="L46" s="106" t="n"/>
    </row>
    <row r="47" ht="15.75" customHeight="1" s="158">
      <c r="B47" s="131" t="inlineStr">
        <is>
          <t>大項目名</t>
        </is>
      </c>
      <c r="C47" s="116" t="inlineStr">
        <is>
          <t>小項目名</t>
        </is>
      </c>
      <c r="D47" s="110" t="inlineStr">
        <is>
          <t>内容</t>
        </is>
      </c>
      <c r="E47" s="111" t="n"/>
      <c r="F47" s="111" t="n"/>
      <c r="G47" s="112" t="n"/>
      <c r="H47" s="110" t="inlineStr">
        <is>
          <t>備考</t>
        </is>
      </c>
      <c r="I47" s="111" t="n"/>
      <c r="J47" s="111" t="n"/>
      <c r="K47" s="111" t="n"/>
      <c r="L47" s="112" t="n"/>
    </row>
    <row r="48" ht="15.75" customHeight="1" s="158">
      <c r="B48" s="120" t="n"/>
      <c r="C48" s="113" t="n"/>
      <c r="D48" s="121" t="n"/>
      <c r="E48" s="114" t="n"/>
      <c r="F48" s="114" t="n"/>
      <c r="G48" s="102" t="n"/>
      <c r="H48" s="113" t="n"/>
      <c r="I48" s="114" t="n"/>
      <c r="J48" s="114" t="n"/>
      <c r="K48" s="114" t="n"/>
      <c r="L48" s="102" t="n"/>
    </row>
    <row r="49" ht="15.75" customHeight="1" s="158">
      <c r="B49" s="123" t="n"/>
      <c r="C49" s="113" t="n"/>
      <c r="D49" s="122" t="n"/>
      <c r="E49" s="114" t="n"/>
      <c r="F49" s="114" t="n"/>
      <c r="G49" s="102" t="n"/>
      <c r="H49" s="113" t="n"/>
      <c r="I49" s="114" t="n"/>
      <c r="J49" s="114" t="n"/>
      <c r="K49" s="114" t="n"/>
      <c r="L49" s="102" t="n"/>
    </row>
    <row r="50" ht="15.75" customHeight="1" s="158">
      <c r="B50" s="120" t="n"/>
      <c r="C50" s="20" t="n"/>
      <c r="D50" s="121" t="n"/>
      <c r="E50" s="114" t="n"/>
      <c r="F50" s="114" t="n"/>
      <c r="G50" s="102" t="n"/>
      <c r="H50" s="113" t="n"/>
      <c r="I50" s="114" t="n"/>
      <c r="J50" s="114" t="n"/>
      <c r="K50" s="114" t="n"/>
      <c r="L50" s="102" t="n"/>
    </row>
    <row r="51" ht="15.75" customHeight="1" s="158">
      <c r="B51" s="120" t="n"/>
      <c r="C51" s="20" t="n"/>
      <c r="D51" s="121" t="n"/>
      <c r="E51" s="114" t="n"/>
      <c r="F51" s="114" t="n"/>
      <c r="G51" s="102" t="n"/>
      <c r="H51" s="113" t="n"/>
      <c r="I51" s="114" t="n"/>
      <c r="J51" s="114" t="n"/>
      <c r="K51" s="114" t="n"/>
      <c r="L51" s="102" t="n"/>
    </row>
    <row r="52" ht="15.75" customHeight="1" s="158">
      <c r="B52" s="120" t="n"/>
      <c r="C52" s="20" t="n"/>
      <c r="D52" s="121" t="n"/>
      <c r="E52" s="114" t="n"/>
      <c r="F52" s="114" t="n"/>
      <c r="G52" s="102" t="n"/>
      <c r="H52" s="113" t="n"/>
      <c r="I52" s="114" t="n"/>
      <c r="J52" s="114" t="n"/>
      <c r="K52" s="114" t="n"/>
      <c r="L52" s="102" t="n"/>
    </row>
    <row r="53" ht="15.75" customHeight="1" s="158">
      <c r="A53" s="40" t="n"/>
      <c r="B53" s="123" t="n"/>
      <c r="C53" s="20" t="n"/>
      <c r="D53" s="121" t="n"/>
      <c r="E53" s="114" t="n"/>
      <c r="F53" s="114" t="n"/>
      <c r="G53" s="102" t="n"/>
      <c r="H53" s="113" t="n"/>
      <c r="I53" s="114" t="n"/>
      <c r="J53" s="114" t="n"/>
      <c r="K53" s="114" t="n"/>
      <c r="L53" s="102" t="n"/>
    </row>
    <row r="54" ht="15.75" customHeight="1" s="158">
      <c r="B54" s="120" t="n"/>
      <c r="C54" s="20" t="n"/>
      <c r="D54" s="121" t="n"/>
      <c r="E54" s="114" t="n"/>
      <c r="F54" s="114" t="n"/>
      <c r="G54" s="102" t="n"/>
      <c r="H54" s="122" t="n"/>
      <c r="I54" s="114" t="n"/>
      <c r="J54" s="114" t="n"/>
      <c r="K54" s="114" t="n"/>
      <c r="L54" s="102" t="n"/>
    </row>
    <row r="55" ht="15.75" customHeight="1" s="158">
      <c r="A55" s="40" t="n"/>
      <c r="B55" s="101" t="inlineStr">
        <is>
          <t>項目一覧  （出力項目)</t>
        </is>
      </c>
      <c r="C55" s="108" t="n"/>
      <c r="D55" s="108" t="n"/>
      <c r="E55" s="108" t="n"/>
      <c r="F55" s="108" t="n"/>
      <c r="G55" s="108" t="n"/>
      <c r="H55" s="105" t="n"/>
      <c r="I55" s="105" t="n"/>
      <c r="J55" s="105" t="n"/>
      <c r="K55" s="105" t="n"/>
      <c r="L55" s="106" t="n"/>
    </row>
    <row r="56" ht="15.75" customHeight="1" s="158">
      <c r="A56" s="40" t="n"/>
      <c r="B56" s="131" t="inlineStr">
        <is>
          <t>大項目名</t>
        </is>
      </c>
      <c r="C56" s="116" t="inlineStr">
        <is>
          <t>小項目名</t>
        </is>
      </c>
      <c r="D56" s="110" t="inlineStr">
        <is>
          <t>内容</t>
        </is>
      </c>
      <c r="E56" s="111" t="n"/>
      <c r="F56" s="111" t="n"/>
      <c r="G56" s="112" t="n"/>
      <c r="H56" s="110" t="inlineStr">
        <is>
          <t>備考</t>
        </is>
      </c>
      <c r="I56" s="111" t="n"/>
      <c r="J56" s="111" t="n"/>
      <c r="K56" s="111" t="n"/>
      <c r="L56" s="112" t="n"/>
    </row>
    <row r="57" ht="15.75" customHeight="1" s="158">
      <c r="A57" s="40" t="n"/>
      <c r="B57" s="20" t="n"/>
      <c r="C57" s="113" t="n"/>
      <c r="D57" s="113" t="n"/>
      <c r="E57" s="114" t="n"/>
      <c r="F57" s="114" t="n"/>
      <c r="G57" s="102" t="n"/>
      <c r="H57" s="113" t="n"/>
      <c r="I57" s="114" t="n"/>
      <c r="J57" s="114" t="n"/>
      <c r="K57" s="114" t="n"/>
      <c r="L57" s="102" t="n"/>
    </row>
    <row r="58" ht="15.75" customHeight="1" s="158">
      <c r="A58" s="40" t="n"/>
      <c r="B58" s="101" t="inlineStr">
        <is>
          <t>アクション仕様</t>
        </is>
      </c>
      <c r="C58" s="108" t="n"/>
      <c r="D58" s="108" t="n"/>
      <c r="E58" s="108" t="n"/>
      <c r="F58" s="108" t="n"/>
      <c r="G58" s="108" t="n"/>
      <c r="H58" s="105" t="n"/>
      <c r="I58" s="105" t="n"/>
      <c r="J58" s="105" t="n"/>
      <c r="K58" s="105" t="n"/>
      <c r="L58" s="106" t="n"/>
    </row>
    <row r="59" ht="15.75" customHeight="1" s="158">
      <c r="A59" s="40" t="n"/>
      <c r="B59" s="110" t="inlineStr">
        <is>
          <t>アクション</t>
        </is>
      </c>
      <c r="C59" s="111" t="n"/>
      <c r="D59" s="111" t="n"/>
      <c r="E59" s="111" t="n"/>
      <c r="F59" s="111" t="n"/>
      <c r="G59" s="110" t="inlineStr">
        <is>
          <t>備考</t>
        </is>
      </c>
      <c r="H59" s="111" t="n"/>
      <c r="I59" s="111" t="n"/>
      <c r="J59" s="111" t="n"/>
      <c r="K59" s="111" t="n"/>
      <c r="L59" s="112" t="n"/>
    </row>
    <row r="60" ht="15.75" customHeight="1" s="158">
      <c r="B60" s="122" t="n"/>
      <c r="C60" s="114" t="n"/>
      <c r="D60" s="114" t="n"/>
      <c r="E60" s="114" t="n"/>
      <c r="F60" s="102" t="n"/>
      <c r="G60" s="113" t="n"/>
      <c r="H60" s="114" t="n"/>
      <c r="I60" s="114" t="n"/>
      <c r="J60" s="114" t="n"/>
      <c r="K60" s="114" t="n"/>
      <c r="L60" s="102" t="n"/>
    </row>
    <row r="61" ht="15.75" customHeight="1" s="158">
      <c r="A61" s="40" t="n"/>
      <c r="B61" s="122" t="n"/>
      <c r="C61" s="114" t="n"/>
      <c r="D61" s="114" t="n"/>
      <c r="E61" s="114" t="n"/>
      <c r="F61" s="102" t="n"/>
      <c r="G61" s="113" t="n"/>
      <c r="H61" s="114" t="n"/>
      <c r="I61" s="114" t="n"/>
      <c r="J61" s="114" t="n"/>
      <c r="K61" s="114" t="n"/>
      <c r="L61" s="102" t="n"/>
    </row>
    <row r="62" ht="15.75" customHeight="1" s="158">
      <c r="A62" s="40" t="n"/>
      <c r="B62" s="122" t="n"/>
      <c r="C62" s="114" t="n"/>
      <c r="D62" s="114" t="n"/>
      <c r="E62" s="114" t="n"/>
      <c r="F62" s="102" t="n"/>
      <c r="G62" s="122" t="n"/>
      <c r="H62" s="114" t="n"/>
      <c r="I62" s="114" t="n"/>
      <c r="J62" s="114" t="n"/>
      <c r="K62" s="114" t="n"/>
      <c r="L62" s="102" t="n"/>
    </row>
    <row r="63" ht="15.75" customHeight="1" s="158">
      <c r="B63" s="101" t="inlineStr">
        <is>
          <t>出力仕様（エラーメッセージ）</t>
        </is>
      </c>
      <c r="C63" s="108" t="n"/>
      <c r="D63" s="108" t="n"/>
      <c r="E63" s="108" t="n"/>
      <c r="F63" s="108" t="n"/>
      <c r="G63" s="108" t="n"/>
      <c r="H63" s="105" t="n"/>
      <c r="I63" s="105" t="n"/>
      <c r="J63" s="105" t="n"/>
      <c r="K63" s="105" t="n"/>
      <c r="L63" s="106" t="n"/>
    </row>
    <row r="64" ht="15.75" customHeight="1" s="158">
      <c r="A64" s="40" t="n"/>
      <c r="B64" s="110" t="inlineStr">
        <is>
          <t>エラーメッセージ</t>
        </is>
      </c>
      <c r="C64" s="111" t="n"/>
      <c r="D64" s="111" t="n"/>
      <c r="E64" s="111" t="n"/>
      <c r="F64" s="111" t="n"/>
      <c r="G64" s="110" t="inlineStr">
        <is>
          <t>備考</t>
        </is>
      </c>
      <c r="H64" s="111" t="n"/>
      <c r="I64" s="111" t="n"/>
      <c r="J64" s="111" t="n"/>
      <c r="K64" s="111" t="n"/>
      <c r="L64" s="112" t="n"/>
    </row>
    <row r="65" ht="15.75" customHeight="1" s="158">
      <c r="A65" s="40" t="n"/>
    </row>
    <row r="66" ht="15.75" customHeight="1" s="158">
      <c r="A66" s="40" t="n"/>
    </row>
    <row r="67" ht="15.75" customHeight="1" s="158"/>
    <row r="68" ht="15.75" customHeight="1" s="158"/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tabColor rgb="FF0070C0"/>
    <outlinePr summaryBelow="0" summaryRight="0"/>
    <pageSetUpPr/>
  </sheetPr>
  <dimension ref="A1:M104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4.25" customWidth="1" style="158" min="2" max="2"/>
    <col width="11.13" customWidth="1" style="158" min="3" max="13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Client)'!C4:C28,'[1]画面定義一覧　（From Client)'!B4:B28,"",0,1)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</row>
    <row r="5" ht="15.75" customHeight="1" s="158">
      <c r="A5" s="40" t="n"/>
      <c r="B5" s="154" t="n"/>
      <c r="C5" s="154" t="n"/>
      <c r="D5" s="154" t="n"/>
      <c r="E5" s="154" t="n"/>
      <c r="F5" s="154" t="n"/>
      <c r="G5" s="154" t="n"/>
      <c r="H5" s="154" t="n"/>
      <c r="I5" s="154" t="n"/>
      <c r="J5" s="154" t="n"/>
      <c r="K5" s="154" t="n"/>
    </row>
    <row r="6" ht="15.75" customHeight="1" s="158">
      <c r="K6" s="128" t="n"/>
    </row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>
      <c r="J13" s="128" t="inlineStr">
        <is>
          <t>↑要否検討</t>
        </is>
      </c>
    </row>
    <row r="14" ht="15.75" customHeight="1" s="158"/>
    <row r="15" ht="15.75" customHeight="1" s="158"/>
    <row r="16" ht="15.75" customHeight="1" s="158"/>
    <row r="17" ht="15.75" customHeight="1" s="158"/>
    <row r="18" ht="15.75" customHeight="1" s="158">
      <c r="J18" s="40" t="n"/>
    </row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>
      <c r="K27" s="107" t="n"/>
    </row>
    <row r="28" ht="15.75" customHeight="1" s="158"/>
    <row r="29" ht="15.75" customHeight="1" s="158"/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5.75" customHeight="1" s="158"/>
    <row r="36" ht="15.75" customHeight="1" s="158"/>
    <row r="37" ht="15.75" customHeight="1" s="158"/>
    <row r="38" ht="15.75" customHeight="1" s="158"/>
    <row r="39" ht="15.75" customHeight="1" s="158"/>
    <row r="40" ht="15.75" customHeight="1" s="158">
      <c r="B40" s="101" t="inlineStr">
        <is>
          <t>項目一覧 （入力項目）</t>
        </is>
      </c>
      <c r="C40" s="108" t="n"/>
      <c r="D40" s="108" t="n"/>
      <c r="E40" s="108" t="n"/>
      <c r="F40" s="108" t="n"/>
      <c r="G40" s="105" t="n"/>
      <c r="H40" s="105" t="n"/>
      <c r="I40" s="105" t="n"/>
      <c r="J40" s="105" t="n"/>
      <c r="K40" s="105" t="n"/>
      <c r="L40" s="106" t="n"/>
    </row>
    <row r="41" ht="15.75" customHeight="1" s="158">
      <c r="B41" s="109" t="inlineStr">
        <is>
          <t>大項目</t>
        </is>
      </c>
      <c r="C41" s="109" t="n"/>
      <c r="D41" s="109" t="inlineStr">
        <is>
          <t>項目名</t>
        </is>
      </c>
      <c r="E41" s="109" t="inlineStr">
        <is>
          <t>型</t>
        </is>
      </c>
      <c r="F41" s="109" t="inlineStr">
        <is>
          <t>桁数/形式</t>
        </is>
      </c>
      <c r="G41" s="110" t="inlineStr">
        <is>
          <t>必須/任意</t>
        </is>
      </c>
      <c r="H41" s="110" t="inlineStr">
        <is>
          <t>備考</t>
        </is>
      </c>
      <c r="I41" s="111" t="n"/>
      <c r="J41" s="111" t="n"/>
      <c r="K41" s="111" t="n"/>
      <c r="L41" s="112" t="n"/>
    </row>
    <row r="42" ht="15.75" customHeight="1" s="158">
      <c r="B42" s="20" t="n"/>
      <c r="C42" s="20" t="n"/>
      <c r="D42" s="20" t="n"/>
      <c r="E42" s="20" t="n"/>
      <c r="F42" s="20" t="n"/>
      <c r="G42" s="20" t="n"/>
      <c r="H42" s="113" t="n"/>
      <c r="I42" s="114" t="n"/>
      <c r="J42" s="114" t="n"/>
      <c r="K42" s="114" t="n"/>
      <c r="L42" s="102" t="n"/>
    </row>
    <row r="43" ht="15.75" customHeight="1" s="158">
      <c r="B43" s="104" t="inlineStr">
        <is>
          <t>項目一覧  （表示情報)</t>
        </is>
      </c>
      <c r="C43" s="105" t="n"/>
      <c r="D43" s="105" t="n"/>
      <c r="E43" s="105" t="n"/>
      <c r="F43" s="105" t="n"/>
      <c r="G43" s="105" t="n"/>
      <c r="H43" s="105" t="n"/>
      <c r="I43" s="105" t="n"/>
      <c r="J43" s="105" t="n"/>
      <c r="K43" s="105" t="n"/>
      <c r="L43" s="106" t="n"/>
    </row>
    <row r="44" ht="15.75" customHeight="1" s="158">
      <c r="B44" s="131" t="inlineStr">
        <is>
          <t>大項目名</t>
        </is>
      </c>
      <c r="C44" s="116" t="inlineStr">
        <is>
          <t>小項目名</t>
        </is>
      </c>
      <c r="D44" s="110" t="inlineStr">
        <is>
          <t>内容</t>
        </is>
      </c>
      <c r="E44" s="111" t="n"/>
      <c r="F44" s="111" t="n"/>
      <c r="G44" s="112" t="n"/>
      <c r="H44" s="110" t="inlineStr">
        <is>
          <t>備考</t>
        </is>
      </c>
      <c r="I44" s="111" t="n"/>
      <c r="J44" s="111" t="n"/>
      <c r="K44" s="111" t="n"/>
      <c r="L44" s="112" t="n"/>
    </row>
    <row r="45" ht="15.75" customHeight="1" s="158">
      <c r="B45" s="117" t="inlineStr">
        <is>
          <t>ポートフォリオなし</t>
        </is>
      </c>
      <c r="C45" s="150" t="n"/>
      <c r="D45" s="151" t="n"/>
      <c r="E45" s="150" t="n"/>
      <c r="F45" s="150" t="n"/>
      <c r="G45" s="150" t="n"/>
      <c r="H45" s="150" t="n"/>
      <c r="I45" s="150" t="n"/>
      <c r="J45" s="150" t="n"/>
      <c r="K45" s="150" t="n"/>
      <c r="L45" s="152" t="n"/>
    </row>
    <row r="46" ht="15.75" customHeight="1" s="158">
      <c r="B46" s="144" t="inlineStr">
        <is>
          <t>ユーザアイコン</t>
        </is>
      </c>
      <c r="C46" s="149" t="n"/>
      <c r="D46" s="155">
        <f>B46&amp;"を表示する"</f>
        <v/>
      </c>
      <c r="E46" s="147" t="n"/>
      <c r="F46" s="147" t="n"/>
      <c r="G46" s="148" t="n"/>
      <c r="H46" s="149" t="n"/>
      <c r="I46" s="147" t="n"/>
      <c r="J46" s="147" t="n"/>
      <c r="K46" s="147" t="n"/>
      <c r="L46" s="148" t="n"/>
    </row>
    <row r="47" ht="15.75" customHeight="1" s="158">
      <c r="B47" s="144" t="inlineStr">
        <is>
          <t>ユーザ名</t>
        </is>
      </c>
      <c r="C47" s="20" t="n"/>
      <c r="D47" s="155">
        <f>B47&amp;"を表示する"</f>
        <v/>
      </c>
      <c r="E47" s="114" t="n"/>
      <c r="F47" s="114" t="n"/>
      <c r="G47" s="102" t="n"/>
      <c r="H47" s="113" t="n"/>
      <c r="I47" s="114" t="n"/>
      <c r="J47" s="114" t="n"/>
      <c r="K47" s="114" t="n"/>
      <c r="L47" s="102" t="n"/>
    </row>
    <row r="48" ht="15.75" customHeight="1" s="158">
      <c r="B48" s="120" t="inlineStr">
        <is>
          <t>ネームアドレス</t>
        </is>
      </c>
      <c r="C48" s="20" t="n"/>
      <c r="D48" s="155">
        <f>B48&amp;"を表示する"</f>
        <v/>
      </c>
      <c r="E48" s="114" t="n"/>
      <c r="F48" s="114" t="n"/>
      <c r="G48" s="102" t="n"/>
      <c r="H48" s="113" t="n"/>
      <c r="I48" s="114" t="n"/>
      <c r="J48" s="114" t="n"/>
      <c r="K48" s="114" t="n"/>
      <c r="L48" s="102" t="n"/>
    </row>
    <row r="49" ht="15.75" customHeight="1" s="158">
      <c r="B49" s="120" t="inlineStr">
        <is>
          <t>タブ</t>
        </is>
      </c>
      <c r="C49" s="20" t="n"/>
      <c r="D49" s="155">
        <f>B49&amp;"を表示する"</f>
        <v/>
      </c>
      <c r="E49" s="114" t="n"/>
      <c r="F49" s="114" t="n"/>
      <c r="G49" s="102" t="n"/>
      <c r="H49" s="113" t="inlineStr">
        <is>
          <t>ALL／いいね／再投稿</t>
        </is>
      </c>
      <c r="I49" s="114" t="n"/>
      <c r="J49" s="114" t="n"/>
      <c r="K49" s="114" t="n"/>
      <c r="L49" s="102" t="n"/>
    </row>
    <row r="50" ht="15.75" customHeight="1" s="158">
      <c r="A50" s="40" t="n"/>
      <c r="B50" s="123" t="inlineStr">
        <is>
          <t>検索ボックス</t>
        </is>
      </c>
      <c r="C50" s="20" t="n"/>
      <c r="D50" s="155">
        <f>B50&amp;"を表示する"</f>
        <v/>
      </c>
      <c r="E50" s="114" t="n"/>
      <c r="F50" s="114" t="n"/>
      <c r="G50" s="102" t="n"/>
      <c r="H50" s="113" t="n"/>
      <c r="I50" s="114" t="n"/>
      <c r="J50" s="114" t="n"/>
      <c r="K50" s="114" t="n"/>
      <c r="L50" s="102" t="n"/>
    </row>
    <row r="51" ht="15" customHeight="1" s="158">
      <c r="A51" s="40" t="n"/>
      <c r="B51" s="123" t="inlineStr">
        <is>
          <t>ラベル</t>
        </is>
      </c>
      <c r="C51" s="20" t="n"/>
      <c r="D51" s="155">
        <f>B51&amp;"「いいねした作品」を表示する"</f>
        <v/>
      </c>
      <c r="E51" s="114" t="n"/>
      <c r="F51" s="114" t="n"/>
      <c r="G51" s="102" t="n"/>
      <c r="H51" s="113" t="n"/>
      <c r="I51" s="114" t="n"/>
      <c r="J51" s="114" t="n"/>
      <c r="K51" s="114" t="n"/>
      <c r="L51" s="102" t="n"/>
    </row>
    <row r="52" ht="15.75" customHeight="1" s="158">
      <c r="A52" s="40" t="n"/>
      <c r="B52" s="123" t="inlineStr">
        <is>
          <t>作品表示フィールド</t>
        </is>
      </c>
      <c r="C52" s="20" t="n"/>
      <c r="D52" s="155" t="n"/>
      <c r="E52" s="114" t="n"/>
      <c r="F52" s="114" t="n"/>
      <c r="G52" s="102" t="n"/>
      <c r="H52" s="122" t="inlineStr">
        <is>
          <t>投稿日時降順で5件まで表示する</t>
        </is>
      </c>
      <c r="I52" s="114" t="n"/>
      <c r="J52" s="114" t="n"/>
      <c r="K52" s="114" t="n"/>
      <c r="L52" s="102" t="n"/>
      <c r="M52" s="107" t="inlineStr">
        <is>
          <t>（is_favorite を識別してoriginal_post_id で追跡する）</t>
        </is>
      </c>
    </row>
    <row r="53" ht="15.75" customHeight="1" s="158">
      <c r="A53" s="40" t="n"/>
      <c r="B53" s="123" t="n"/>
      <c r="C53" s="120" t="inlineStr">
        <is>
          <t>サムネイル</t>
        </is>
      </c>
      <c r="D53" s="155">
        <f>C53&amp;"を表示する"</f>
        <v/>
      </c>
      <c r="E53" s="114" t="n"/>
      <c r="F53" s="114" t="n"/>
      <c r="G53" s="102" t="n"/>
      <c r="H53" s="113" t="n"/>
      <c r="I53" s="114" t="n"/>
      <c r="J53" s="114" t="n"/>
      <c r="K53" s="114" t="n"/>
      <c r="L53" s="102" t="n"/>
    </row>
    <row r="54" ht="15.75" customHeight="1" s="158">
      <c r="A54" s="40" t="n"/>
      <c r="B54" s="123" t="n"/>
      <c r="C54" s="120" t="inlineStr">
        <is>
          <t>作品タイトル</t>
        </is>
      </c>
      <c r="D54" s="155">
        <f>C54&amp;"を表示する"</f>
        <v/>
      </c>
      <c r="E54" s="114" t="n"/>
      <c r="F54" s="114" t="n"/>
      <c r="G54" s="102" t="n"/>
      <c r="H54" s="113" t="n"/>
      <c r="I54" s="114" t="n"/>
      <c r="J54" s="114" t="n"/>
      <c r="K54" s="114" t="n"/>
      <c r="L54" s="102" t="n"/>
    </row>
    <row r="55" ht="15.75" customHeight="1" s="158">
      <c r="A55" s="40" t="n"/>
      <c r="B55" s="123" t="n"/>
      <c r="C55" s="120" t="inlineStr">
        <is>
          <t>メンバーアイコン</t>
        </is>
      </c>
      <c r="D55" s="155">
        <f>C55&amp;"を表示する"</f>
        <v/>
      </c>
      <c r="E55" s="114" t="n"/>
      <c r="F55" s="114" t="n"/>
      <c r="G55" s="102" t="n"/>
      <c r="H55" s="113" t="n"/>
      <c r="I55" s="114" t="n"/>
      <c r="J55" s="114" t="n"/>
      <c r="K55" s="114" t="n"/>
      <c r="L55" s="102" t="n"/>
    </row>
    <row r="56" ht="15.75" customHeight="1" s="158">
      <c r="A56" s="40" t="n"/>
      <c r="B56" s="123" t="n"/>
      <c r="C56" s="120" t="inlineStr">
        <is>
          <t>ポートフォリオ名</t>
        </is>
      </c>
      <c r="D56" s="155">
        <f>C56&amp;"を表示する"</f>
        <v/>
      </c>
      <c r="E56" s="114" t="n"/>
      <c r="F56" s="114" t="n"/>
      <c r="G56" s="102" t="n"/>
      <c r="H56" s="113" t="n"/>
      <c r="I56" s="114" t="n"/>
      <c r="J56" s="114" t="n"/>
      <c r="K56" s="114" t="n"/>
      <c r="L56" s="102" t="n"/>
    </row>
    <row r="57" ht="15.75" customHeight="1" s="158">
      <c r="A57" s="40" t="n"/>
      <c r="B57" s="123" t="inlineStr">
        <is>
          <t>もっと見るボタン</t>
        </is>
      </c>
      <c r="C57" s="120" t="n"/>
      <c r="D57" s="155" t="inlineStr">
        <is>
          <t>作品表示フィールドを5件拡張する</t>
        </is>
      </c>
      <c r="E57" s="114" t="n"/>
      <c r="F57" s="114" t="n"/>
      <c r="G57" s="102" t="n"/>
      <c r="H57" s="113" t="n"/>
      <c r="I57" s="114" t="n"/>
      <c r="J57" s="114" t="n"/>
      <c r="K57" s="114" t="n"/>
      <c r="L57" s="102" t="n"/>
    </row>
    <row r="58" ht="15" customHeight="1" s="158">
      <c r="A58" s="40" t="n"/>
      <c r="B58" s="123" t="inlineStr">
        <is>
          <t>ラベル</t>
        </is>
      </c>
      <c r="C58" s="20" t="n"/>
      <c r="D58" s="155">
        <f>B58&amp;"「再投稿した作品」を表示する"</f>
        <v/>
      </c>
      <c r="E58" s="114" t="n"/>
      <c r="F58" s="114" t="n"/>
      <c r="G58" s="102" t="n"/>
      <c r="H58" s="113" t="n"/>
      <c r="I58" s="114" t="n"/>
      <c r="J58" s="114" t="n"/>
      <c r="K58" s="114" t="n"/>
      <c r="L58" s="102" t="n"/>
    </row>
    <row r="59" ht="15.75" customHeight="1" s="158">
      <c r="A59" s="40" t="n"/>
      <c r="B59" s="123" t="inlineStr">
        <is>
          <t>作品表示フィールド</t>
        </is>
      </c>
      <c r="C59" s="20" t="n"/>
      <c r="D59" s="155" t="n"/>
      <c r="E59" s="114" t="n"/>
      <c r="F59" s="114" t="n"/>
      <c r="G59" s="102" t="n"/>
      <c r="H59" s="122" t="inlineStr">
        <is>
          <t>再投稿日時降順で5件まで表示する</t>
        </is>
      </c>
      <c r="I59" s="114" t="n"/>
      <c r="J59" s="114" t="n"/>
      <c r="K59" s="114" t="n"/>
      <c r="L59" s="102" t="n"/>
      <c r="M59" s="107" t="inlineStr">
        <is>
          <t>（is_repost を識別してoriginal_post_id で追跡する）</t>
        </is>
      </c>
    </row>
    <row r="60" ht="15.75" customHeight="1" s="158">
      <c r="A60" s="40" t="n"/>
      <c r="B60" s="123" t="n"/>
      <c r="C60" s="120" t="inlineStr">
        <is>
          <t>サムネイル</t>
        </is>
      </c>
      <c r="D60" s="155">
        <f>C60&amp;"を表示する"</f>
        <v/>
      </c>
      <c r="E60" s="114" t="n"/>
      <c r="F60" s="114" t="n"/>
      <c r="G60" s="102" t="n"/>
      <c r="H60" s="113" t="n"/>
      <c r="I60" s="114" t="n"/>
      <c r="J60" s="114" t="n"/>
      <c r="K60" s="114" t="n"/>
      <c r="L60" s="102" t="n"/>
    </row>
    <row r="61" ht="15.75" customHeight="1" s="158">
      <c r="A61" s="40" t="n"/>
      <c r="B61" s="123" t="n"/>
      <c r="C61" s="120" t="inlineStr">
        <is>
          <t>作品タイトル</t>
        </is>
      </c>
      <c r="D61" s="155">
        <f>C61&amp;"を表示する"</f>
        <v/>
      </c>
      <c r="E61" s="114" t="n"/>
      <c r="F61" s="114" t="n"/>
      <c r="G61" s="102" t="n"/>
      <c r="H61" s="113" t="n"/>
      <c r="I61" s="114" t="n"/>
      <c r="J61" s="114" t="n"/>
      <c r="K61" s="114" t="n"/>
      <c r="L61" s="102" t="n"/>
    </row>
    <row r="62" ht="15.75" customHeight="1" s="158">
      <c r="A62" s="40" t="n"/>
      <c r="B62" s="123" t="n"/>
      <c r="C62" s="120" t="inlineStr">
        <is>
          <t>メンバーアイコン</t>
        </is>
      </c>
      <c r="D62" s="155">
        <f>C62&amp;"を表示する"</f>
        <v/>
      </c>
      <c r="E62" s="114" t="n"/>
      <c r="F62" s="114" t="n"/>
      <c r="G62" s="102" t="n"/>
      <c r="H62" s="113" t="n"/>
      <c r="I62" s="114" t="n"/>
      <c r="J62" s="114" t="n"/>
      <c r="K62" s="114" t="n"/>
      <c r="L62" s="102" t="n"/>
    </row>
    <row r="63" ht="15.75" customHeight="1" s="158">
      <c r="A63" s="40" t="n"/>
      <c r="B63" s="123" t="n"/>
      <c r="C63" s="120" t="inlineStr">
        <is>
          <t>ポートフォリオ名</t>
        </is>
      </c>
      <c r="D63" s="155">
        <f>C63&amp;"を表示する"</f>
        <v/>
      </c>
      <c r="E63" s="114" t="n"/>
      <c r="F63" s="114" t="n"/>
      <c r="G63" s="102" t="n"/>
      <c r="H63" s="113" t="n"/>
      <c r="I63" s="114" t="n"/>
      <c r="J63" s="114" t="n"/>
      <c r="K63" s="114" t="n"/>
      <c r="L63" s="102" t="n"/>
    </row>
    <row r="64" ht="15.75" customHeight="1" s="158">
      <c r="A64" s="40" t="n"/>
      <c r="B64" s="123" t="inlineStr">
        <is>
          <t>もっと見るボタン</t>
        </is>
      </c>
      <c r="C64" s="120" t="n"/>
      <c r="D64" s="155" t="inlineStr">
        <is>
          <t>作品表示フィールドを10件拡張する</t>
        </is>
      </c>
      <c r="E64" s="114" t="n"/>
      <c r="F64" s="114" t="n"/>
      <c r="G64" s="102" t="n"/>
      <c r="H64" s="113" t="n"/>
      <c r="I64" s="114" t="n"/>
      <c r="J64" s="114" t="n"/>
      <c r="K64" s="114" t="n"/>
      <c r="L64" s="102" t="n"/>
    </row>
    <row r="65" ht="15.75" customHeight="1" s="158">
      <c r="B65" s="117" t="inlineStr">
        <is>
          <t>ポートフォリオあり</t>
        </is>
      </c>
      <c r="C65" s="150" t="n"/>
      <c r="D65" s="151" t="n"/>
      <c r="E65" s="150" t="n"/>
      <c r="F65" s="150" t="n"/>
      <c r="G65" s="150" t="n"/>
      <c r="H65" s="150" t="n"/>
      <c r="I65" s="150" t="n"/>
      <c r="J65" s="150" t="n"/>
      <c r="K65" s="150" t="n"/>
      <c r="L65" s="152" t="n"/>
    </row>
    <row r="66" ht="15.75" customHeight="1" s="158">
      <c r="B66" s="144" t="inlineStr">
        <is>
          <t>ユーザアイコン</t>
        </is>
      </c>
      <c r="C66" s="149" t="n"/>
      <c r="D66" s="155">
        <f>B66&amp;"を表示する"</f>
        <v/>
      </c>
      <c r="E66" s="147" t="n"/>
      <c r="F66" s="147" t="n"/>
      <c r="G66" s="148" t="n"/>
      <c r="H66" s="149" t="n"/>
      <c r="I66" s="147" t="n"/>
      <c r="J66" s="147" t="n"/>
      <c r="K66" s="147" t="n"/>
      <c r="L66" s="148" t="n"/>
    </row>
    <row r="67" ht="15.75" customHeight="1" s="158">
      <c r="B67" s="144" t="inlineStr">
        <is>
          <t>ユーザ名</t>
        </is>
      </c>
      <c r="C67" s="20" t="n"/>
      <c r="D67" s="155">
        <f>B67&amp;"を表示する"</f>
        <v/>
      </c>
      <c r="E67" s="114" t="n"/>
      <c r="F67" s="114" t="n"/>
      <c r="G67" s="102" t="n"/>
      <c r="H67" s="113" t="n"/>
      <c r="I67" s="114" t="n"/>
      <c r="J67" s="114" t="n"/>
      <c r="K67" s="114" t="n"/>
      <c r="L67" s="102" t="n"/>
    </row>
    <row r="68" ht="15.75" customHeight="1" s="158">
      <c r="B68" s="120" t="inlineStr">
        <is>
          <t>ネームアドレス</t>
        </is>
      </c>
      <c r="C68" s="20" t="n"/>
      <c r="D68" s="155">
        <f>B68&amp;"を表示する"</f>
        <v/>
      </c>
      <c r="E68" s="114" t="n"/>
      <c r="F68" s="114" t="n"/>
      <c r="G68" s="102" t="n"/>
      <c r="H68" s="113" t="n"/>
      <c r="I68" s="114" t="n"/>
      <c r="J68" s="114" t="n"/>
      <c r="K68" s="114" t="n"/>
      <c r="L68" s="102" t="n"/>
    </row>
    <row r="69" ht="15.75" customHeight="1" s="158">
      <c r="B69" s="120" t="inlineStr">
        <is>
          <t>タブ</t>
        </is>
      </c>
      <c r="C69" s="20" t="n"/>
      <c r="D69" s="155">
        <f>B69&amp;"を表示する"</f>
        <v/>
      </c>
      <c r="E69" s="114" t="n"/>
      <c r="F69" s="114" t="n"/>
      <c r="G69" s="102" t="n"/>
      <c r="H69" s="113" t="inlineStr">
        <is>
          <t>ALL／投稿／ポートフォリオ／イベント</t>
        </is>
      </c>
      <c r="I69" s="114" t="n"/>
      <c r="J69" s="114" t="n"/>
      <c r="K69" s="114" t="n"/>
      <c r="L69" s="102" t="n"/>
    </row>
    <row r="70" ht="15.75" customHeight="1" s="158">
      <c r="A70" s="40" t="n"/>
      <c r="B70" s="123" t="inlineStr">
        <is>
          <t>検索ボックス</t>
        </is>
      </c>
      <c r="C70" s="20" t="n"/>
      <c r="D70" s="155">
        <f>B70&amp;"を表示する"</f>
        <v/>
      </c>
      <c r="E70" s="114" t="n"/>
      <c r="F70" s="114" t="n"/>
      <c r="G70" s="102" t="n"/>
      <c r="H70" s="113" t="n"/>
      <c r="I70" s="114" t="n"/>
      <c r="J70" s="114" t="n"/>
      <c r="K70" s="114" t="n"/>
      <c r="L70" s="102" t="n"/>
    </row>
    <row r="71" ht="15" customHeight="1" s="158">
      <c r="A71" s="40" t="n"/>
      <c r="B71" s="123" t="inlineStr">
        <is>
          <t>ラベル</t>
        </is>
      </c>
      <c r="C71" s="20" t="n"/>
      <c r="D71" s="155">
        <f>B71&amp;"「投稿」を表示する"</f>
        <v/>
      </c>
      <c r="E71" s="114" t="n"/>
      <c r="F71" s="114" t="n"/>
      <c r="G71" s="102" t="n"/>
      <c r="H71" s="113" t="n"/>
      <c r="I71" s="114" t="n"/>
      <c r="J71" s="114" t="n"/>
      <c r="K71" s="114" t="n"/>
      <c r="L71" s="102" t="n"/>
    </row>
    <row r="72" ht="15.75" customHeight="1" s="158">
      <c r="A72" s="40" t="n"/>
      <c r="B72" s="123" t="inlineStr">
        <is>
          <t>作品表示フィールド</t>
        </is>
      </c>
      <c r="C72" s="20" t="n"/>
      <c r="D72" s="155" t="n"/>
      <c r="E72" s="114" t="n"/>
      <c r="F72" s="114" t="n"/>
      <c r="G72" s="102" t="n"/>
      <c r="H72" s="122" t="inlineStr">
        <is>
          <t>投稿日時降順で5件まで表示する</t>
        </is>
      </c>
      <c r="I72" s="114" t="n"/>
      <c r="J72" s="114" t="n"/>
      <c r="K72" s="114" t="n"/>
      <c r="L72" s="102" t="n"/>
    </row>
    <row r="73" ht="15.75" customHeight="1" s="158">
      <c r="A73" s="40" t="n"/>
      <c r="B73" s="123" t="n"/>
      <c r="C73" s="120" t="inlineStr">
        <is>
          <t>サムネイル</t>
        </is>
      </c>
      <c r="D73" s="155">
        <f>C73&amp;"を表示する"</f>
        <v/>
      </c>
      <c r="E73" s="114" t="n"/>
      <c r="F73" s="114" t="n"/>
      <c r="G73" s="102" t="n"/>
      <c r="H73" s="113" t="n"/>
      <c r="I73" s="114" t="n"/>
      <c r="J73" s="114" t="n"/>
      <c r="K73" s="114" t="n"/>
      <c r="L73" s="102" t="n"/>
    </row>
    <row r="74" ht="15.75" customHeight="1" s="158">
      <c r="A74" s="40" t="n"/>
      <c r="B74" s="123" t="n"/>
      <c r="C74" s="120" t="inlineStr">
        <is>
          <t>作品タイトル</t>
        </is>
      </c>
      <c r="D74" s="155">
        <f>C74&amp;"を表示する"</f>
        <v/>
      </c>
      <c r="E74" s="114" t="n"/>
      <c r="F74" s="114" t="n"/>
      <c r="G74" s="102" t="n"/>
      <c r="H74" s="113" t="n"/>
      <c r="I74" s="114" t="n"/>
      <c r="J74" s="114" t="n"/>
      <c r="K74" s="114" t="n"/>
      <c r="L74" s="102" t="n"/>
    </row>
    <row r="75" ht="15.75" customHeight="1" s="158">
      <c r="A75" s="40" t="n"/>
      <c r="B75" s="123" t="n"/>
      <c r="C75" s="120" t="inlineStr">
        <is>
          <t>メンバーアイコン</t>
        </is>
      </c>
      <c r="D75" s="155">
        <f>C75&amp;"を表示する"</f>
        <v/>
      </c>
      <c r="E75" s="114" t="n"/>
      <c r="F75" s="114" t="n"/>
      <c r="G75" s="102" t="n"/>
      <c r="H75" s="113" t="n"/>
      <c r="I75" s="114" t="n"/>
      <c r="J75" s="114" t="n"/>
      <c r="K75" s="114" t="n"/>
      <c r="L75" s="102" t="n"/>
    </row>
    <row r="76" ht="15.75" customHeight="1" s="158">
      <c r="A76" s="40" t="n"/>
      <c r="B76" s="123" t="n"/>
      <c r="C76" s="120" t="inlineStr">
        <is>
          <t>ポートフォリオ名</t>
        </is>
      </c>
      <c r="D76" s="155">
        <f>C76&amp;"を表示する"</f>
        <v/>
      </c>
      <c r="E76" s="114" t="n"/>
      <c r="F76" s="114" t="n"/>
      <c r="G76" s="102" t="n"/>
      <c r="H76" s="113" t="n"/>
      <c r="I76" s="114" t="n"/>
      <c r="J76" s="114" t="n"/>
      <c r="K76" s="114" t="n"/>
      <c r="L76" s="102" t="n"/>
    </row>
    <row r="77" ht="15.75" customHeight="1" s="158">
      <c r="A77" s="40" t="n"/>
      <c r="B77" s="123" t="inlineStr">
        <is>
          <t>もっと見るボタン</t>
        </is>
      </c>
      <c r="C77" s="120" t="n"/>
      <c r="D77" s="155" t="inlineStr">
        <is>
          <t>作品表示フィールドを5件拡張する</t>
        </is>
      </c>
      <c r="E77" s="114" t="n"/>
      <c r="F77" s="114" t="n"/>
      <c r="G77" s="102" t="n"/>
      <c r="H77" s="113" t="n"/>
      <c r="I77" s="114" t="n"/>
      <c r="J77" s="114" t="n"/>
      <c r="K77" s="114" t="n"/>
      <c r="L77" s="102" t="n"/>
    </row>
    <row r="78" ht="15" customHeight="1" s="158">
      <c r="A78" s="40" t="n"/>
      <c r="B78" s="123" t="inlineStr">
        <is>
          <t>ラベル</t>
        </is>
      </c>
      <c r="C78" s="20" t="n"/>
      <c r="D78" s="155">
        <f>B78&amp;"「ポートフォリオ」を表示する"</f>
        <v/>
      </c>
      <c r="E78" s="114" t="n"/>
      <c r="F78" s="114" t="n"/>
      <c r="G78" s="102" t="n"/>
      <c r="H78" s="113" t="n"/>
      <c r="I78" s="114" t="n"/>
      <c r="J78" s="114" t="n"/>
      <c r="K78" s="114" t="n"/>
      <c r="L78" s="102" t="n"/>
    </row>
    <row r="79" ht="15.75" customHeight="1" s="158">
      <c r="A79" s="40" t="n"/>
      <c r="B79" s="123" t="inlineStr">
        <is>
          <t>ポートフォリオ表示フィールド</t>
        </is>
      </c>
      <c r="C79" s="20" t="n"/>
      <c r="D79" s="155" t="n"/>
      <c r="E79" s="114" t="n"/>
      <c r="F79" s="114" t="n"/>
      <c r="G79" s="102" t="n"/>
      <c r="H79" s="122" t="inlineStr">
        <is>
          <t>再投稿日時降順で5件まで表示する</t>
        </is>
      </c>
      <c r="I79" s="114" t="n"/>
      <c r="J79" s="114" t="n"/>
      <c r="K79" s="114" t="n"/>
      <c r="L79" s="102" t="n"/>
      <c r="M79" s="107" t="n"/>
    </row>
    <row r="80" ht="15.75" customHeight="1" s="158">
      <c r="A80" s="40" t="n"/>
      <c r="B80" s="123" t="n"/>
      <c r="C80" s="120" t="inlineStr">
        <is>
          <t>サムネイル</t>
        </is>
      </c>
      <c r="D80" s="155">
        <f>C80&amp;"を表示する"</f>
        <v/>
      </c>
      <c r="E80" s="114" t="n"/>
      <c r="F80" s="114" t="n"/>
      <c r="G80" s="102" t="n"/>
      <c r="H80" s="113" t="n"/>
      <c r="I80" s="114" t="n"/>
      <c r="J80" s="114" t="n"/>
      <c r="K80" s="114" t="n"/>
      <c r="L80" s="102" t="n"/>
    </row>
    <row r="81" ht="15.75" customHeight="1" s="158">
      <c r="A81" s="40" t="n"/>
      <c r="B81" s="123" t="n"/>
      <c r="C81" s="120" t="inlineStr">
        <is>
          <t>ポートフォリオ名</t>
        </is>
      </c>
      <c r="D81" s="155">
        <f>C81&amp;"を表示する"</f>
        <v/>
      </c>
      <c r="E81" s="114" t="n"/>
      <c r="F81" s="114" t="n"/>
      <c r="G81" s="102" t="n"/>
      <c r="H81" s="113" t="n"/>
      <c r="I81" s="114" t="n"/>
      <c r="J81" s="114" t="n"/>
      <c r="K81" s="114" t="n"/>
      <c r="L81" s="102" t="n"/>
    </row>
    <row r="82" ht="15.75" customHeight="1" s="158">
      <c r="A82" s="40" t="n"/>
      <c r="B82" s="123" t="n"/>
      <c r="C82" s="120" t="inlineStr">
        <is>
          <t>管理者アイコン</t>
        </is>
      </c>
      <c r="D82" s="155">
        <f>C82&amp;"を表示する"</f>
        <v/>
      </c>
      <c r="E82" s="114" t="n"/>
      <c r="F82" s="114" t="n"/>
      <c r="G82" s="102" t="n"/>
      <c r="H82" s="113" t="n"/>
      <c r="I82" s="114" t="n"/>
      <c r="J82" s="114" t="n"/>
      <c r="K82" s="114" t="n"/>
      <c r="L82" s="102" t="n"/>
    </row>
    <row r="83" ht="15.75" customHeight="1" s="158">
      <c r="A83" s="40" t="n"/>
      <c r="B83" s="123" t="n"/>
      <c r="C83" s="120" t="inlineStr">
        <is>
          <t>管理者名</t>
        </is>
      </c>
      <c r="D83" s="155">
        <f>C83&amp;"（ユーザ名）を表示する"</f>
        <v/>
      </c>
      <c r="E83" s="114" t="n"/>
      <c r="F83" s="114" t="n"/>
      <c r="G83" s="102" t="n"/>
      <c r="H83" s="113" t="n"/>
      <c r="I83" s="114" t="n"/>
      <c r="J83" s="114" t="n"/>
      <c r="K83" s="114" t="n"/>
      <c r="L83" s="102" t="n"/>
    </row>
    <row r="84" ht="15.75" customHeight="1" s="158">
      <c r="A84" s="40" t="n"/>
      <c r="B84" s="123" t="n"/>
      <c r="C84" s="120" t="inlineStr">
        <is>
          <t>メンバーアイコン</t>
        </is>
      </c>
      <c r="D84" s="155">
        <f>C84&amp;"を表示する"</f>
        <v/>
      </c>
      <c r="E84" s="114" t="n"/>
      <c r="F84" s="114" t="n"/>
      <c r="G84" s="102" t="n"/>
      <c r="H84" s="122" t="inlineStr">
        <is>
          <t>5アイコンまで表示する</t>
        </is>
      </c>
      <c r="I84" s="114" t="n"/>
      <c r="J84" s="114" t="n"/>
      <c r="K84" s="114" t="n"/>
      <c r="L84" s="102" t="n"/>
    </row>
    <row r="85" ht="15.75" customHeight="1" s="158">
      <c r="A85" s="40" t="n"/>
      <c r="B85" s="123" t="n"/>
      <c r="C85" s="120" t="inlineStr">
        <is>
          <t>ポートフォリオ名</t>
        </is>
      </c>
      <c r="D85" s="155">
        <f>C85&amp;"を表示する"</f>
        <v/>
      </c>
      <c r="E85" s="114" t="n"/>
      <c r="F85" s="114" t="n"/>
      <c r="G85" s="102" t="n"/>
      <c r="H85" s="113" t="n"/>
      <c r="I85" s="114" t="n"/>
      <c r="J85" s="114" t="n"/>
      <c r="K85" s="114" t="n"/>
      <c r="L85" s="102" t="n"/>
    </row>
    <row r="86" ht="15" customHeight="1" s="158">
      <c r="A86" s="40" t="n"/>
      <c r="B86" s="123" t="inlineStr">
        <is>
          <t>もっと見るボタン</t>
        </is>
      </c>
      <c r="C86" s="120" t="n"/>
      <c r="D86" s="155" t="inlineStr">
        <is>
          <t>作品表示フィールドを5件拡張する</t>
        </is>
      </c>
      <c r="E86" s="114" t="n"/>
      <c r="F86" s="114" t="n"/>
      <c r="G86" s="102" t="n"/>
      <c r="H86" s="113" t="n"/>
      <c r="I86" s="114" t="n"/>
      <c r="J86" s="114" t="n"/>
      <c r="K86" s="114" t="n"/>
      <c r="L86" s="102" t="n"/>
    </row>
    <row r="87" ht="15" customHeight="1" s="158">
      <c r="A87" s="40" t="n"/>
      <c r="B87" s="123" t="inlineStr">
        <is>
          <t>ラベル</t>
        </is>
      </c>
      <c r="C87" s="20" t="n"/>
      <c r="D87" s="155">
        <f>B87&amp;"「イベント」を表示する"</f>
        <v/>
      </c>
      <c r="E87" s="114" t="n"/>
      <c r="F87" s="114" t="n"/>
      <c r="G87" s="102" t="n"/>
      <c r="H87" s="113" t="n"/>
      <c r="I87" s="114" t="n"/>
      <c r="J87" s="114" t="n"/>
      <c r="K87" s="114" t="n"/>
      <c r="L87" s="102" t="n"/>
    </row>
    <row r="88" ht="15.75" customHeight="1" s="158">
      <c r="A88" s="40" t="n"/>
      <c r="B88" s="123" t="inlineStr">
        <is>
          <t>イベント表示フィールド</t>
        </is>
      </c>
      <c r="C88" s="20" t="n"/>
      <c r="D88" s="155" t="n"/>
      <c r="E88" s="114" t="n"/>
      <c r="F88" s="114" t="n"/>
      <c r="G88" s="102" t="n"/>
      <c r="H88" s="122" t="inlineStr">
        <is>
          <t>再投稿日時降順で5件まで表示する</t>
        </is>
      </c>
      <c r="I88" s="114" t="n"/>
      <c r="J88" s="114" t="n"/>
      <c r="K88" s="114" t="n"/>
      <c r="L88" s="102" t="n"/>
      <c r="M88" s="107" t="n"/>
    </row>
    <row r="89" ht="15.75" customHeight="1" s="158">
      <c r="A89" s="40" t="n"/>
      <c r="B89" s="123" t="n"/>
      <c r="C89" s="120" t="inlineStr">
        <is>
          <t>サムネイル</t>
        </is>
      </c>
      <c r="D89" s="155">
        <f>C89&amp;"を表示する"</f>
        <v/>
      </c>
      <c r="E89" s="114" t="n"/>
      <c r="F89" s="114" t="n"/>
      <c r="G89" s="102" t="n"/>
      <c r="H89" s="113" t="n"/>
      <c r="I89" s="114" t="n"/>
      <c r="J89" s="114" t="n"/>
      <c r="K89" s="114" t="n"/>
      <c r="L89" s="102" t="n"/>
    </row>
    <row r="90" ht="15.75" customHeight="1" s="158">
      <c r="A90" s="40" t="n"/>
      <c r="B90" s="123" t="n"/>
      <c r="C90" s="120" t="inlineStr">
        <is>
          <t>イベント名</t>
        </is>
      </c>
      <c r="D90" s="155">
        <f>C90&amp;"を表示する"</f>
        <v/>
      </c>
      <c r="E90" s="114" t="n"/>
      <c r="F90" s="114" t="n"/>
      <c r="G90" s="102" t="n"/>
      <c r="H90" s="113" t="n"/>
      <c r="I90" s="114" t="n"/>
      <c r="J90" s="114" t="n"/>
      <c r="K90" s="114" t="n"/>
      <c r="L90" s="102" t="n"/>
    </row>
    <row r="91" ht="15.75" customHeight="1" s="158">
      <c r="A91" s="40" t="n"/>
      <c r="B91" s="123" t="n"/>
      <c r="C91" s="120" t="inlineStr">
        <is>
          <t>期限</t>
        </is>
      </c>
      <c r="D91" s="155">
        <f>C91&amp;"を表示する"</f>
        <v/>
      </c>
      <c r="E91" s="114" t="n"/>
      <c r="F91" s="114" t="n"/>
      <c r="G91" s="102" t="n"/>
      <c r="H91" s="113" t="n"/>
      <c r="I91" s="114" t="n"/>
      <c r="J91" s="114" t="n"/>
      <c r="K91" s="114" t="n"/>
      <c r="L91" s="102" t="n"/>
    </row>
    <row r="92" ht="15" customHeight="1" s="158">
      <c r="A92" s="40" t="n"/>
      <c r="B92" s="123" t="inlineStr">
        <is>
          <t>もっと見るボタン</t>
        </is>
      </c>
      <c r="C92" s="120" t="n"/>
      <c r="D92" s="155" t="inlineStr">
        <is>
          <t>作品表示フィールドを5件拡張する</t>
        </is>
      </c>
      <c r="E92" s="114" t="n"/>
      <c r="F92" s="114" t="n"/>
      <c r="G92" s="102" t="n"/>
      <c r="H92" s="113" t="n"/>
      <c r="I92" s="114" t="n"/>
      <c r="J92" s="114" t="n"/>
      <c r="K92" s="114" t="n"/>
      <c r="L92" s="102" t="n"/>
    </row>
    <row r="93" ht="15.75" customHeight="1" s="158">
      <c r="A93" s="40" t="n"/>
      <c r="B93" s="101" t="inlineStr">
        <is>
          <t>項目一覧  （出力項目)</t>
        </is>
      </c>
      <c r="C93" s="108" t="n"/>
      <c r="D93" s="108" t="n"/>
      <c r="E93" s="108" t="n"/>
      <c r="F93" s="108" t="n"/>
      <c r="G93" s="108" t="n"/>
      <c r="H93" s="105" t="n"/>
      <c r="I93" s="105" t="n"/>
      <c r="J93" s="105" t="n"/>
      <c r="K93" s="105" t="n"/>
      <c r="L93" s="106" t="n"/>
    </row>
    <row r="94" ht="15.75" customHeight="1" s="158">
      <c r="A94" s="40" t="n"/>
      <c r="B94" s="131" t="inlineStr">
        <is>
          <t>大項目名</t>
        </is>
      </c>
      <c r="C94" s="116" t="inlineStr">
        <is>
          <t>小項目名</t>
        </is>
      </c>
      <c r="D94" s="110" t="inlineStr">
        <is>
          <t>内容</t>
        </is>
      </c>
      <c r="E94" s="111" t="n"/>
      <c r="F94" s="111" t="n"/>
      <c r="G94" s="112" t="n"/>
      <c r="H94" s="110" t="inlineStr">
        <is>
          <t>備考</t>
        </is>
      </c>
      <c r="I94" s="111" t="n"/>
      <c r="J94" s="111" t="n"/>
      <c r="K94" s="111" t="n"/>
      <c r="L94" s="112" t="n"/>
    </row>
    <row r="95" ht="15.75" customHeight="1" s="158">
      <c r="A95" s="40" t="n"/>
      <c r="B95" s="20" t="n"/>
      <c r="C95" s="113" t="n"/>
      <c r="D95" s="113" t="n"/>
      <c r="E95" s="114" t="n"/>
      <c r="F95" s="114" t="n"/>
      <c r="G95" s="102" t="n"/>
      <c r="H95" s="113" t="n"/>
      <c r="I95" s="114" t="n"/>
      <c r="J95" s="114" t="n"/>
      <c r="K95" s="114" t="n"/>
      <c r="L95" s="102" t="n"/>
    </row>
    <row r="96" ht="15.75" customHeight="1" s="158">
      <c r="A96" s="40" t="n"/>
      <c r="B96" s="101" t="inlineStr">
        <is>
          <t>アクション仕様</t>
        </is>
      </c>
      <c r="C96" s="108" t="n"/>
      <c r="D96" s="108" t="n"/>
      <c r="E96" s="108" t="n"/>
      <c r="F96" s="108" t="n"/>
      <c r="G96" s="108" t="n"/>
      <c r="H96" s="105" t="n"/>
      <c r="I96" s="105" t="n"/>
      <c r="J96" s="105" t="n"/>
      <c r="K96" s="105" t="n"/>
      <c r="L96" s="106" t="n"/>
    </row>
    <row r="97" ht="15.75" customHeight="1" s="158">
      <c r="A97" s="40" t="n"/>
      <c r="B97" s="110" t="inlineStr">
        <is>
          <t>アクション</t>
        </is>
      </c>
      <c r="C97" s="111" t="n"/>
      <c r="D97" s="111" t="n"/>
      <c r="E97" s="111" t="n"/>
      <c r="F97" s="111" t="n"/>
      <c r="G97" s="110" t="inlineStr">
        <is>
          <t>備考</t>
        </is>
      </c>
      <c r="H97" s="111" t="n"/>
      <c r="I97" s="111" t="n"/>
      <c r="J97" s="111" t="n"/>
      <c r="K97" s="111" t="n"/>
      <c r="L97" s="112" t="n"/>
    </row>
    <row r="98" ht="15.75" customHeight="1" s="158">
      <c r="B98" s="122" t="n"/>
      <c r="C98" s="114" t="n"/>
      <c r="D98" s="114" t="n"/>
      <c r="E98" s="114" t="n"/>
      <c r="F98" s="102" t="n"/>
      <c r="G98" s="113" t="n"/>
      <c r="H98" s="114" t="n"/>
      <c r="I98" s="114" t="n"/>
      <c r="J98" s="114" t="n"/>
      <c r="K98" s="114" t="n"/>
      <c r="L98" s="102" t="n"/>
    </row>
    <row r="99" ht="15.75" customHeight="1" s="158">
      <c r="A99" s="40" t="n"/>
      <c r="B99" s="122" t="n"/>
      <c r="C99" s="114" t="n"/>
      <c r="D99" s="114" t="n"/>
      <c r="E99" s="114" t="n"/>
      <c r="F99" s="102" t="n"/>
      <c r="G99" s="113" t="n"/>
      <c r="H99" s="114" t="n"/>
      <c r="I99" s="114" t="n"/>
      <c r="J99" s="114" t="n"/>
      <c r="K99" s="114" t="n"/>
      <c r="L99" s="102" t="n"/>
    </row>
    <row r="100" ht="15.75" customHeight="1" s="158">
      <c r="A100" s="40" t="n"/>
      <c r="B100" s="122" t="n"/>
      <c r="C100" s="114" t="n"/>
      <c r="D100" s="114" t="n"/>
      <c r="E100" s="114" t="n"/>
      <c r="F100" s="102" t="n"/>
      <c r="G100" s="122" t="n"/>
      <c r="H100" s="114" t="n"/>
      <c r="I100" s="114" t="n"/>
      <c r="J100" s="114" t="n"/>
      <c r="K100" s="114" t="n"/>
      <c r="L100" s="102" t="n"/>
    </row>
    <row r="101" ht="15.75" customHeight="1" s="158">
      <c r="B101" s="101" t="inlineStr">
        <is>
          <t>出力仕様（エラーメッセージ）</t>
        </is>
      </c>
      <c r="C101" s="108" t="n"/>
      <c r="D101" s="108" t="n"/>
      <c r="E101" s="108" t="n"/>
      <c r="F101" s="108" t="n"/>
      <c r="G101" s="108" t="n"/>
      <c r="H101" s="105" t="n"/>
      <c r="I101" s="105" t="n"/>
      <c r="J101" s="105" t="n"/>
      <c r="K101" s="105" t="n"/>
      <c r="L101" s="106" t="n"/>
    </row>
    <row r="102" ht="15.75" customHeight="1" s="158">
      <c r="A102" s="40" t="n"/>
      <c r="B102" s="110" t="inlineStr">
        <is>
          <t>エラーメッセージ</t>
        </is>
      </c>
      <c r="C102" s="111" t="n"/>
      <c r="D102" s="111" t="n"/>
      <c r="E102" s="111" t="n"/>
      <c r="F102" s="111" t="n"/>
      <c r="G102" s="110" t="inlineStr">
        <is>
          <t>備考</t>
        </is>
      </c>
      <c r="H102" s="111" t="n"/>
      <c r="I102" s="111" t="n"/>
      <c r="J102" s="111" t="n"/>
      <c r="K102" s="111" t="n"/>
      <c r="L102" s="112" t="n"/>
    </row>
    <row r="103" ht="15.75" customHeight="1" s="158">
      <c r="A103" s="40" t="n"/>
    </row>
    <row r="104" ht="15.75" customHeight="1" s="158">
      <c r="A104" s="40" t="n"/>
    </row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0070C0"/>
    <outlinePr summaryBelow="0" summaryRight="0"/>
    <pageSetUpPr/>
  </sheetPr>
  <dimension ref="A1:O50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5" customWidth="1" style="158" min="2" max="2"/>
    <col width="12.38" customWidth="1" style="158" min="3" max="3"/>
    <col width="11.13" customWidth="1" style="158" min="4" max="15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XLOOKUP($E$2,'[1]画面定義一覧　（From Client)'!$C$3:$C$98,'[1]画面定義一覧　（From Client)'!$B$3:$B$98,"",0,1)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99" t="inlineStr">
        <is>
          <t>フッターから遷移する画面</t>
        </is>
      </c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28" t="inlineStr">
        <is>
          <t>情報提供待ち</t>
        </is>
      </c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>
      <c r="J12" s="128" t="n"/>
    </row>
    <row r="13" ht="15.75" customHeight="1" s="158"/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/>
    <row r="28" ht="15.75" customHeight="1" s="158"/>
    <row r="29" ht="15.75" customHeight="1" s="158"/>
    <row r="30" ht="15.75" customHeight="1" s="158"/>
    <row r="31" ht="15.75" customHeight="1" s="158">
      <c r="B31" s="101" t="inlineStr">
        <is>
          <t>項目一覧 （入力項目）</t>
        </is>
      </c>
      <c r="C31" s="108" t="n"/>
      <c r="D31" s="108" t="n"/>
      <c r="E31" s="108" t="n"/>
      <c r="F31" s="108" t="n"/>
      <c r="G31" s="105" t="n"/>
      <c r="H31" s="105" t="n"/>
      <c r="I31" s="105" t="n"/>
      <c r="J31" s="105" t="n"/>
      <c r="K31" s="105" t="n"/>
      <c r="L31" s="106" t="n"/>
    </row>
    <row r="32" ht="15.75" customHeight="1" s="158">
      <c r="B32" s="109" t="inlineStr">
        <is>
          <t>大項目</t>
        </is>
      </c>
      <c r="C32" s="109" t="n"/>
      <c r="D32" s="109" t="inlineStr">
        <is>
          <t>項目名</t>
        </is>
      </c>
      <c r="E32" s="109" t="inlineStr">
        <is>
          <t>型</t>
        </is>
      </c>
      <c r="F32" s="109" t="inlineStr">
        <is>
          <t>桁数/形式</t>
        </is>
      </c>
      <c r="G32" s="110" t="inlineStr">
        <is>
          <t>必須/任意</t>
        </is>
      </c>
      <c r="H32" s="110" t="inlineStr">
        <is>
          <t>備考</t>
        </is>
      </c>
      <c r="I32" s="111" t="n"/>
      <c r="J32" s="111" t="n"/>
      <c r="K32" s="111" t="n"/>
      <c r="L32" s="112" t="n"/>
    </row>
    <row r="33" ht="15.75" customHeight="1" s="158">
      <c r="B33" s="120" t="n"/>
      <c r="C33" s="20" t="n"/>
      <c r="D33" s="20" t="n"/>
      <c r="E33" s="120" t="n"/>
      <c r="F33" s="20" t="n"/>
      <c r="G33" s="120" t="n"/>
      <c r="H33" s="122" t="n"/>
      <c r="I33" s="114" t="n"/>
      <c r="J33" s="114" t="n"/>
      <c r="K33" s="114" t="n"/>
      <c r="L33" s="102" t="n"/>
    </row>
    <row r="34" ht="15.75" customHeight="1" s="158">
      <c r="B34" s="101" t="inlineStr">
        <is>
          <t>項目一覧  （表示情報)</t>
        </is>
      </c>
      <c r="C34" s="108" t="n"/>
      <c r="D34" s="108" t="n"/>
      <c r="E34" s="108" t="n"/>
      <c r="F34" s="108" t="n"/>
      <c r="G34" s="108" t="n"/>
      <c r="H34" s="105" t="n"/>
      <c r="I34" s="105" t="n"/>
      <c r="J34" s="105" t="n"/>
      <c r="K34" s="105" t="n"/>
      <c r="L34" s="106" t="n"/>
    </row>
    <row r="35" ht="15.75" customHeight="1" s="158">
      <c r="B35" s="131" t="inlineStr">
        <is>
          <t>大項目名</t>
        </is>
      </c>
      <c r="C35" s="116" t="inlineStr">
        <is>
          <t>小項目名</t>
        </is>
      </c>
      <c r="D35" s="110" t="inlineStr">
        <is>
          <t>内容</t>
        </is>
      </c>
      <c r="E35" s="111" t="n"/>
      <c r="F35" s="111" t="n"/>
      <c r="G35" s="112" t="n"/>
      <c r="H35" s="110" t="inlineStr">
        <is>
          <t>備考</t>
        </is>
      </c>
      <c r="I35" s="111" t="n"/>
      <c r="J35" s="111" t="n"/>
      <c r="K35" s="111" t="n"/>
      <c r="L35" s="112" t="n"/>
    </row>
    <row r="36" ht="15.75" customHeight="1" s="158">
      <c r="B36" s="120" t="inlineStr">
        <is>
          <t>タイトル</t>
        </is>
      </c>
      <c r="C36" s="113" t="n"/>
      <c r="D36" s="121" t="n"/>
      <c r="E36" s="114" t="n"/>
      <c r="F36" s="114" t="n"/>
      <c r="G36" s="102" t="n"/>
      <c r="H36" s="122" t="n"/>
      <c r="I36" s="114" t="n"/>
      <c r="J36" s="114" t="n"/>
      <c r="K36" s="114" t="n"/>
      <c r="L36" s="102" t="n"/>
    </row>
    <row r="37" ht="15.75" customHeight="1" s="158">
      <c r="B37" s="123" t="inlineStr">
        <is>
          <t>一覧エリア</t>
        </is>
      </c>
      <c r="C37" s="113" t="n"/>
      <c r="D37" s="122" t="n"/>
      <c r="F37" s="114" t="n"/>
      <c r="G37" s="102" t="n"/>
      <c r="H37" s="122" t="n"/>
      <c r="I37" s="114" t="n"/>
      <c r="J37" s="114" t="n"/>
      <c r="K37" s="114" t="n"/>
      <c r="L37" s="102" t="n"/>
    </row>
    <row r="38" ht="15.75" customHeight="1" s="158">
      <c r="B38" s="120" t="n"/>
      <c r="C38" s="120" t="inlineStr">
        <is>
          <t>項目</t>
        </is>
      </c>
      <c r="D38" s="122">
        <f>C38&amp;"をラベル表示する"</f>
        <v/>
      </c>
      <c r="E38" s="114" t="n"/>
      <c r="F38" s="114" t="n"/>
      <c r="G38" s="102" t="n"/>
      <c r="H38" s="122" t="inlineStr">
        <is>
          <t>クリックで詳細エリアに対象の項目を表示させる</t>
        </is>
      </c>
      <c r="I38" s="114" t="n"/>
      <c r="J38" s="114" t="n"/>
      <c r="K38" s="114" t="n"/>
      <c r="L38" s="102" t="n"/>
    </row>
    <row r="39" ht="15.75" customHeight="1" s="158">
      <c r="B39" s="120" t="inlineStr">
        <is>
          <t>詳細エリア</t>
        </is>
      </c>
      <c r="C39" s="120" t="inlineStr">
        <is>
          <t>タイトル</t>
        </is>
      </c>
      <c r="D39" s="121" t="n"/>
      <c r="E39" s="114" t="n"/>
      <c r="F39" s="114" t="n"/>
      <c r="G39" s="102" t="n"/>
      <c r="H39" s="122" t="n"/>
      <c r="I39" s="114" t="n"/>
      <c r="J39" s="114" t="n"/>
      <c r="K39" s="114" t="n"/>
      <c r="L39" s="102" t="n"/>
    </row>
    <row r="40" ht="15.75" customHeight="1" s="158">
      <c r="B40" s="120" t="n"/>
      <c r="C40" s="120" t="inlineStr">
        <is>
          <t>詳細</t>
        </is>
      </c>
      <c r="D40" s="121" t="inlineStr">
        <is>
          <t>複数のテキストもしくはキャプチャが中央表示される</t>
        </is>
      </c>
      <c r="E40" s="114" t="n"/>
      <c r="F40" s="114" t="n"/>
      <c r="G40" s="102" t="n"/>
      <c r="H40" s="122" t="n"/>
      <c r="I40" s="114" t="n"/>
      <c r="J40" s="114" t="n"/>
      <c r="K40" s="114" t="n"/>
      <c r="L40" s="102" t="n"/>
    </row>
    <row r="41" ht="15.75" customHeight="1" s="158">
      <c r="A41" s="40" t="n"/>
      <c r="B41" s="101" t="inlineStr">
        <is>
          <t>項目一覧  （出力項目)</t>
        </is>
      </c>
      <c r="C41" s="108" t="n"/>
      <c r="D41" s="108" t="n"/>
      <c r="E41" s="108" t="n"/>
      <c r="F41" s="108" t="n"/>
      <c r="G41" s="108" t="n"/>
      <c r="H41" s="105" t="n"/>
      <c r="I41" s="105" t="n"/>
      <c r="J41" s="105" t="n"/>
      <c r="K41" s="105" t="n"/>
      <c r="L41" s="106" t="n"/>
    </row>
    <row r="42" ht="15.75" customHeight="1" s="158">
      <c r="A42" s="40" t="n"/>
      <c r="B42" s="131" t="inlineStr">
        <is>
          <t>大項目名</t>
        </is>
      </c>
      <c r="C42" s="116" t="inlineStr">
        <is>
          <t>小項目名</t>
        </is>
      </c>
      <c r="D42" s="110" t="inlineStr">
        <is>
          <t>内容</t>
        </is>
      </c>
      <c r="E42" s="111" t="n"/>
      <c r="F42" s="111" t="n"/>
      <c r="G42" s="112" t="n"/>
      <c r="H42" s="110" t="inlineStr">
        <is>
          <t>備考</t>
        </is>
      </c>
      <c r="I42" s="111" t="n"/>
      <c r="J42" s="111" t="n"/>
      <c r="K42" s="111" t="n"/>
      <c r="L42" s="112" t="n"/>
    </row>
    <row r="43" ht="15.75" customHeight="1" s="158">
      <c r="A43" s="40" t="n"/>
      <c r="B43" s="120" t="n"/>
      <c r="C43" s="113" t="n"/>
      <c r="D43" s="122" t="n"/>
      <c r="E43" s="114" t="n"/>
      <c r="F43" s="114" t="n"/>
      <c r="G43" s="102" t="n"/>
      <c r="H43" s="113" t="n"/>
      <c r="I43" s="114" t="n"/>
      <c r="J43" s="114" t="n"/>
      <c r="K43" s="114" t="n"/>
      <c r="L43" s="102" t="n"/>
    </row>
    <row r="44" ht="15.75" customHeight="1" s="158">
      <c r="A44" s="40" t="n"/>
      <c r="B44" s="101" t="inlineStr">
        <is>
          <t>アクション仕様</t>
        </is>
      </c>
      <c r="C44" s="108" t="n"/>
      <c r="D44" s="108" t="n"/>
      <c r="E44" s="108" t="n"/>
      <c r="F44" s="108" t="n"/>
      <c r="G44" s="108" t="n"/>
      <c r="H44" s="105" t="n"/>
      <c r="I44" s="105" t="n"/>
      <c r="J44" s="105" t="n"/>
      <c r="K44" s="105" t="n"/>
      <c r="L44" s="106" t="n"/>
    </row>
    <row r="45" ht="15.75" customHeight="1" s="158">
      <c r="A45" s="40" t="n"/>
      <c r="B45" s="110" t="inlineStr">
        <is>
          <t>アクション</t>
        </is>
      </c>
      <c r="C45" s="111" t="n"/>
      <c r="D45" s="111" t="n"/>
      <c r="E45" s="111" t="n"/>
      <c r="F45" s="111" t="n"/>
      <c r="G45" s="110" t="inlineStr">
        <is>
          <t>備考</t>
        </is>
      </c>
      <c r="H45" s="111" t="n"/>
      <c r="I45" s="111" t="n"/>
      <c r="J45" s="111" t="n"/>
      <c r="K45" s="111" t="n"/>
      <c r="L45" s="112" t="n"/>
    </row>
    <row r="46" ht="15.75" customHeight="1" s="158">
      <c r="B46" s="122" t="n"/>
      <c r="C46" s="114" t="n"/>
      <c r="D46" s="114" t="n"/>
      <c r="E46" s="114" t="n"/>
      <c r="F46" s="102" t="n"/>
      <c r="G46" s="113" t="n"/>
      <c r="H46" s="114" t="n"/>
      <c r="I46" s="114" t="n"/>
      <c r="J46" s="114" t="n"/>
      <c r="K46" s="114" t="n"/>
      <c r="L46" s="102" t="n"/>
    </row>
    <row r="47" ht="15.75" customHeight="1" s="158">
      <c r="B47" s="101" t="inlineStr">
        <is>
          <t>出力仕様（エラーメッセージ）</t>
        </is>
      </c>
      <c r="C47" s="108" t="n"/>
      <c r="D47" s="108" t="n"/>
      <c r="E47" s="108" t="n"/>
      <c r="F47" s="108" t="n"/>
      <c r="G47" s="108" t="n"/>
      <c r="H47" s="105" t="n"/>
      <c r="I47" s="105" t="n"/>
      <c r="J47" s="105" t="n"/>
      <c r="K47" s="105" t="n"/>
      <c r="L47" s="106" t="n"/>
    </row>
    <row r="48" ht="15.75" customHeight="1" s="158">
      <c r="A48" s="40" t="n"/>
      <c r="B48" s="110" t="inlineStr">
        <is>
          <t>エラーメッセージ</t>
        </is>
      </c>
      <c r="C48" s="111" t="n"/>
      <c r="D48" s="111" t="n"/>
      <c r="E48" s="111" t="n"/>
      <c r="F48" s="111" t="n"/>
      <c r="G48" s="110" t="inlineStr">
        <is>
          <t>備考</t>
        </is>
      </c>
      <c r="H48" s="111" t="n"/>
      <c r="I48" s="111" t="n"/>
      <c r="J48" s="111" t="n"/>
      <c r="K48" s="111" t="n"/>
      <c r="L48" s="112" t="n"/>
    </row>
    <row r="49" ht="15.75" customHeight="1" s="158">
      <c r="A49" s="40" t="n"/>
      <c r="B49" s="122" t="n"/>
      <c r="C49" s="114" t="n"/>
      <c r="D49" s="114" t="n"/>
      <c r="E49" s="114" t="n"/>
      <c r="F49" s="102" t="n"/>
      <c r="G49" s="113" t="n"/>
      <c r="H49" s="114" t="n"/>
      <c r="I49" s="114" t="n"/>
      <c r="J49" s="114" t="n"/>
      <c r="K49" s="114" t="n"/>
      <c r="L49" s="102" t="n"/>
    </row>
    <row r="50" ht="15.75" customHeight="1" s="158">
      <c r="A50" s="40" t="n"/>
    </row>
    <row r="51" ht="15.75" customHeight="1" s="158"/>
    <row r="52" ht="15.75" customHeight="1" s="158"/>
    <row r="53" ht="15.75" customHeight="1" s="158"/>
    <row r="54" ht="15.75" customHeight="1" s="158"/>
    <row r="55" ht="15.75" customHeight="1" s="158"/>
    <row r="56" ht="15.75" customHeight="1" s="158"/>
    <row r="57" ht="15.75" customHeight="1" s="158"/>
    <row r="58" ht="15.75" customHeight="1" s="158"/>
    <row r="59" ht="15.75" customHeight="1" s="158"/>
    <row r="60" ht="15.75" customHeight="1" s="158"/>
    <row r="61" ht="15.75" customHeight="1" s="158"/>
    <row r="62" ht="15.75" customHeight="1" s="158"/>
    <row r="63" ht="15.75" customHeight="1" s="158"/>
    <row r="64" ht="15.75" customHeight="1" s="158"/>
    <row r="65" ht="15.75" customHeight="1" s="158"/>
    <row r="66" ht="15.75" customHeight="1" s="158"/>
    <row r="67" ht="15.75" customHeight="1" s="158"/>
    <row r="68" ht="15.75" customHeight="1" s="158"/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0070C0"/>
    <outlinePr summaryBelow="0" summaryRight="0"/>
    <pageSetUpPr/>
  </sheetPr>
  <dimension ref="A1:O56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5" customWidth="1" style="158" min="2" max="2"/>
    <col width="12.38" customWidth="1" style="158" min="3" max="3"/>
    <col width="11.13" customWidth="1" style="158" min="4" max="15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Client)'!C3:C39,'[1]画面定義一覧　（From Client)'!B3:B39,"",0,1)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28" t="n"/>
    </row>
    <row r="13" ht="15" customHeight="1" s="158">
      <c r="J13" s="128" t="n"/>
    </row>
    <row r="36" ht="15.75" customHeight="1" s="158">
      <c r="B36" s="101" t="inlineStr">
        <is>
          <t>項目一覧 （入力項目）</t>
        </is>
      </c>
      <c r="C36" s="108" t="n"/>
      <c r="D36" s="108" t="n"/>
      <c r="E36" s="108" t="n"/>
      <c r="F36" s="108" t="n"/>
      <c r="G36" s="105" t="n"/>
      <c r="H36" s="105" t="n"/>
      <c r="I36" s="105" t="n"/>
      <c r="J36" s="105" t="n"/>
      <c r="K36" s="105" t="n"/>
      <c r="L36" s="106" t="n"/>
    </row>
    <row r="37" ht="15.75" customHeight="1" s="158">
      <c r="B37" s="109" t="inlineStr">
        <is>
          <t>大項目</t>
        </is>
      </c>
      <c r="C37" s="109" t="n"/>
      <c r="D37" s="109" t="inlineStr">
        <is>
          <t>項目名</t>
        </is>
      </c>
      <c r="E37" s="109" t="inlineStr">
        <is>
          <t>型</t>
        </is>
      </c>
      <c r="F37" s="109" t="inlineStr">
        <is>
          <t>桁数/形式</t>
        </is>
      </c>
      <c r="G37" s="110" t="inlineStr">
        <is>
          <t>必須/任意</t>
        </is>
      </c>
      <c r="H37" s="110" t="inlineStr">
        <is>
          <t>備考</t>
        </is>
      </c>
      <c r="I37" s="111" t="n"/>
      <c r="J37" s="111" t="n"/>
      <c r="K37" s="111" t="n"/>
      <c r="L37" s="112" t="n"/>
    </row>
    <row r="38" ht="15.75" customHeight="1" s="158">
      <c r="B38" s="120" t="n"/>
      <c r="C38" s="20" t="n"/>
      <c r="D38" s="20" t="n"/>
      <c r="E38" s="120" t="n"/>
      <c r="F38" s="20" t="n"/>
      <c r="G38" s="120" t="n"/>
      <c r="H38" s="122" t="n"/>
      <c r="I38" s="114" t="n"/>
      <c r="J38" s="114" t="n"/>
      <c r="K38" s="114" t="n"/>
      <c r="L38" s="102" t="n"/>
    </row>
    <row r="39" ht="15.75" customHeight="1" s="158">
      <c r="B39" s="101" t="inlineStr">
        <is>
          <t>項目一覧  （表示情報)</t>
        </is>
      </c>
      <c r="C39" s="108" t="n"/>
      <c r="D39" s="108" t="n"/>
      <c r="E39" s="108" t="n"/>
      <c r="F39" s="108" t="n"/>
      <c r="G39" s="108" t="n"/>
      <c r="H39" s="105" t="n"/>
      <c r="I39" s="105" t="n"/>
      <c r="J39" s="105" t="n"/>
      <c r="K39" s="105" t="n"/>
      <c r="L39" s="106" t="n"/>
    </row>
    <row r="40" ht="15.75" customHeight="1" s="158">
      <c r="B40" s="131" t="inlineStr">
        <is>
          <t>大項目名</t>
        </is>
      </c>
      <c r="C40" s="116" t="inlineStr">
        <is>
          <t>小項目名</t>
        </is>
      </c>
      <c r="D40" s="110" t="inlineStr">
        <is>
          <t>内容</t>
        </is>
      </c>
      <c r="E40" s="111" t="n"/>
      <c r="F40" s="111" t="n"/>
      <c r="G40" s="112" t="n"/>
      <c r="H40" s="110" t="inlineStr">
        <is>
          <t>備考</t>
        </is>
      </c>
      <c r="I40" s="111" t="n"/>
      <c r="J40" s="111" t="n"/>
      <c r="K40" s="111" t="n"/>
      <c r="L40" s="112" t="n"/>
    </row>
    <row r="41" ht="15.75" customHeight="1" s="158">
      <c r="B41" s="120" t="inlineStr">
        <is>
          <t>ラベル</t>
        </is>
      </c>
      <c r="C41" s="113" t="n"/>
      <c r="D41" s="121" t="inlineStr">
        <is>
          <t>ラベル表示</t>
        </is>
      </c>
      <c r="E41" s="114" t="n"/>
      <c r="F41" s="114" t="n"/>
      <c r="G41" s="102" t="n"/>
      <c r="H41" s="122" t="n"/>
      <c r="I41" s="114" t="n"/>
      <c r="J41" s="114" t="n"/>
      <c r="K41" s="114" t="n"/>
      <c r="L41" s="102" t="n"/>
    </row>
    <row r="42" ht="15.75" customHeight="1" s="158">
      <c r="B42" s="123" t="inlineStr">
        <is>
          <t>内容</t>
        </is>
      </c>
      <c r="C42" s="113" t="n"/>
      <c r="D42" s="122" t="n"/>
      <c r="F42" s="114" t="n"/>
      <c r="G42" s="102" t="n"/>
      <c r="H42" s="122" t="n"/>
      <c r="I42" s="114" t="n"/>
      <c r="J42" s="114" t="n"/>
      <c r="K42" s="114" t="n"/>
      <c r="L42" s="102" t="n"/>
    </row>
    <row r="43" ht="15.75" customHeight="1" s="158">
      <c r="B43" s="120" t="n"/>
      <c r="C43" s="120" t="inlineStr">
        <is>
          <t>大項目</t>
        </is>
      </c>
      <c r="D43" s="122">
        <f>C43&amp;"を表示する"</f>
        <v/>
      </c>
      <c r="E43" s="114" t="n"/>
      <c r="F43" s="114" t="n"/>
      <c r="G43" s="102" t="n"/>
      <c r="H43" s="122" t="n"/>
      <c r="I43" s="114" t="n"/>
      <c r="J43" s="114" t="n"/>
      <c r="K43" s="114" t="n"/>
      <c r="L43" s="102" t="n"/>
    </row>
    <row r="44" ht="15.75" customHeight="1" s="158">
      <c r="B44" s="120" t="n"/>
      <c r="C44" s="120" t="inlineStr">
        <is>
          <t>中項目</t>
        </is>
      </c>
      <c r="D44" s="122">
        <f>C44&amp;"を表示する"</f>
        <v/>
      </c>
      <c r="E44" s="114" t="n"/>
      <c r="F44" s="114" t="n"/>
      <c r="G44" s="102" t="n"/>
      <c r="H44" s="122" t="n"/>
      <c r="I44" s="114" t="n"/>
      <c r="J44" s="114" t="n"/>
      <c r="K44" s="114" t="n"/>
      <c r="L44" s="102" t="n"/>
    </row>
    <row r="45" ht="15.75" customHeight="1" s="158">
      <c r="B45" s="120" t="n"/>
      <c r="C45" s="120" t="inlineStr">
        <is>
          <t>小項目</t>
        </is>
      </c>
      <c r="D45" s="122">
        <f>C45&amp;"を表示する"</f>
        <v/>
      </c>
      <c r="E45" s="114" t="n"/>
      <c r="F45" s="114" t="n"/>
      <c r="G45" s="102" t="n"/>
      <c r="H45" s="122" t="n"/>
      <c r="I45" s="114" t="n"/>
      <c r="J45" s="114" t="n"/>
      <c r="K45" s="114" t="n"/>
      <c r="L45" s="102" t="n"/>
    </row>
    <row r="46" ht="15.75" customHeight="1" s="158">
      <c r="B46" s="120" t="n"/>
      <c r="C46" s="120" t="inlineStr">
        <is>
          <t>内容詳細</t>
        </is>
      </c>
      <c r="D46" s="122">
        <f>C46&amp;"を表示する"</f>
        <v/>
      </c>
      <c r="E46" s="114" t="n"/>
      <c r="F46" s="114" t="n"/>
      <c r="G46" s="102" t="n"/>
      <c r="H46" s="122" t="n"/>
      <c r="I46" s="114" t="n"/>
      <c r="J46" s="114" t="n"/>
      <c r="K46" s="114" t="n"/>
      <c r="L46" s="102" t="n"/>
    </row>
    <row r="47" ht="16.5" customHeight="1" s="158">
      <c r="B47" s="120" t="inlineStr">
        <is>
          <t>トップへ戻る</t>
        </is>
      </c>
      <c r="C47" s="120" t="n"/>
      <c r="D47" s="121" t="n"/>
      <c r="E47" s="114" t="n"/>
      <c r="F47" s="114" t="n"/>
      <c r="G47" s="102" t="n"/>
      <c r="H47" s="122" t="n"/>
      <c r="I47" s="114" t="n"/>
      <c r="J47" s="114" t="n"/>
      <c r="K47" s="114" t="n"/>
      <c r="L47" s="102" t="n"/>
    </row>
    <row r="48" ht="15.75" customHeight="1" s="158">
      <c r="A48" s="40" t="n"/>
      <c r="B48" s="101" t="inlineStr">
        <is>
          <t>項目一覧  （出力項目)</t>
        </is>
      </c>
      <c r="C48" s="108" t="n"/>
      <c r="D48" s="108" t="n"/>
      <c r="E48" s="108" t="n"/>
      <c r="F48" s="108" t="n"/>
      <c r="G48" s="108" t="n"/>
      <c r="H48" s="105" t="n"/>
      <c r="I48" s="105" t="n"/>
      <c r="J48" s="105" t="n"/>
      <c r="K48" s="105" t="n"/>
      <c r="L48" s="106" t="n"/>
    </row>
    <row r="49" ht="15.75" customHeight="1" s="158">
      <c r="A49" s="40" t="n"/>
      <c r="B49" s="131" t="inlineStr">
        <is>
          <t>大項目名</t>
        </is>
      </c>
      <c r="C49" s="116" t="inlineStr">
        <is>
          <t>小項目名</t>
        </is>
      </c>
      <c r="D49" s="110" t="inlineStr">
        <is>
          <t>内容</t>
        </is>
      </c>
      <c r="E49" s="111" t="n"/>
      <c r="F49" s="111" t="n"/>
      <c r="G49" s="112" t="n"/>
      <c r="H49" s="110" t="inlineStr">
        <is>
          <t>備考</t>
        </is>
      </c>
      <c r="I49" s="111" t="n"/>
      <c r="J49" s="111" t="n"/>
      <c r="K49" s="111" t="n"/>
      <c r="L49" s="112" t="n"/>
    </row>
    <row r="50" ht="15.75" customHeight="1" s="158">
      <c r="A50" s="40" t="n"/>
      <c r="B50" s="120" t="n"/>
      <c r="C50" s="113" t="n"/>
      <c r="D50" s="122" t="n"/>
      <c r="E50" s="114" t="n"/>
      <c r="F50" s="114" t="n"/>
      <c r="G50" s="102" t="n"/>
      <c r="H50" s="113" t="n"/>
      <c r="I50" s="114" t="n"/>
      <c r="J50" s="114" t="n"/>
      <c r="K50" s="114" t="n"/>
      <c r="L50" s="102" t="n"/>
    </row>
    <row r="51" ht="15.75" customHeight="1" s="158">
      <c r="A51" s="40" t="n"/>
      <c r="B51" s="101" t="inlineStr">
        <is>
          <t>アクション仕様</t>
        </is>
      </c>
      <c r="C51" s="108" t="n"/>
      <c r="D51" s="108" t="n"/>
      <c r="E51" s="108" t="n"/>
      <c r="F51" s="108" t="n"/>
      <c r="G51" s="108" t="n"/>
      <c r="H51" s="105" t="n"/>
      <c r="I51" s="105" t="n"/>
      <c r="J51" s="105" t="n"/>
      <c r="K51" s="105" t="n"/>
      <c r="L51" s="106" t="n"/>
    </row>
    <row r="52" ht="15.75" customHeight="1" s="158">
      <c r="A52" s="40" t="n"/>
      <c r="B52" s="110" t="inlineStr">
        <is>
          <t>アクション</t>
        </is>
      </c>
      <c r="C52" s="111" t="n"/>
      <c r="D52" s="111" t="n"/>
      <c r="E52" s="111" t="n"/>
      <c r="F52" s="111" t="n"/>
      <c r="G52" s="110" t="inlineStr">
        <is>
          <t>備考</t>
        </is>
      </c>
      <c r="H52" s="111" t="n"/>
      <c r="I52" s="111" t="n"/>
      <c r="J52" s="111" t="n"/>
      <c r="K52" s="111" t="n"/>
      <c r="L52" s="112" t="n"/>
    </row>
    <row r="53" ht="15.75" customHeight="1" s="158">
      <c r="B53" s="122" t="n"/>
      <c r="C53" s="114" t="n"/>
      <c r="D53" s="114" t="n"/>
      <c r="E53" s="114" t="n"/>
      <c r="F53" s="102" t="n"/>
      <c r="G53" s="113" t="n"/>
      <c r="H53" s="114" t="n"/>
      <c r="I53" s="114" t="n"/>
      <c r="J53" s="114" t="n"/>
      <c r="K53" s="114" t="n"/>
      <c r="L53" s="102" t="n"/>
    </row>
    <row r="54" ht="15.75" customHeight="1" s="158">
      <c r="B54" s="101" t="inlineStr">
        <is>
          <t>出力仕様（エラーメッセージ）</t>
        </is>
      </c>
      <c r="C54" s="108" t="n"/>
      <c r="D54" s="108" t="n"/>
      <c r="E54" s="108" t="n"/>
      <c r="F54" s="108" t="n"/>
      <c r="G54" s="108" t="n"/>
      <c r="H54" s="105" t="n"/>
      <c r="I54" s="105" t="n"/>
      <c r="J54" s="105" t="n"/>
      <c r="K54" s="105" t="n"/>
      <c r="L54" s="106" t="n"/>
    </row>
    <row r="55" ht="15.75" customHeight="1" s="158">
      <c r="A55" s="40" t="n"/>
      <c r="B55" s="110" t="inlineStr">
        <is>
          <t>エラーメッセージ</t>
        </is>
      </c>
      <c r="C55" s="111" t="n"/>
      <c r="D55" s="111" t="n"/>
      <c r="E55" s="111" t="n"/>
      <c r="F55" s="111" t="n"/>
      <c r="G55" s="110" t="inlineStr">
        <is>
          <t>備考</t>
        </is>
      </c>
      <c r="H55" s="111" t="n"/>
      <c r="I55" s="111" t="n"/>
      <c r="J55" s="111" t="n"/>
      <c r="K55" s="111" t="n"/>
      <c r="L55" s="112" t="n"/>
    </row>
    <row r="56" ht="15.75" customHeight="1" s="158">
      <c r="A56" s="40" t="n"/>
      <c r="B56" s="122" t="n"/>
      <c r="C56" s="114" t="n"/>
      <c r="D56" s="114" t="n"/>
      <c r="E56" s="114" t="n"/>
      <c r="F56" s="102" t="n"/>
      <c r="G56" s="113" t="n"/>
      <c r="H56" s="114" t="n"/>
      <c r="I56" s="114" t="n"/>
      <c r="J56" s="114" t="n"/>
      <c r="K56" s="114" t="n"/>
      <c r="L56" s="102" t="n"/>
    </row>
    <row r="57" ht="15.75" customHeight="1" s="158"/>
    <row r="58" ht="15.75" customHeight="1" s="158"/>
    <row r="59" ht="15.75" customHeight="1" s="158"/>
    <row r="60" ht="15.75" customHeight="1" s="158"/>
    <row r="61" ht="15.75" customHeight="1" s="158"/>
    <row r="62" ht="15.75" customHeight="1" s="158"/>
    <row r="63" ht="15.75" customHeight="1" s="158"/>
    <row r="64" ht="15.75" customHeight="1" s="158"/>
    <row r="65" ht="15.75" customHeight="1" s="158"/>
    <row r="66" ht="15.75" customHeight="1" s="158"/>
    <row r="67" ht="15.75" customHeight="1" s="158"/>
    <row r="68" ht="15.75" customHeight="1" s="158"/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0070C0"/>
    <outlinePr summaryBelow="0" summaryRight="0"/>
    <pageSetUpPr/>
  </sheetPr>
  <dimension ref="A1:O56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5" customWidth="1" style="158" min="2" max="2"/>
    <col width="12.38" customWidth="1" style="158" min="3" max="3"/>
    <col width="11.13" customWidth="1" style="158" min="4" max="15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Client)'!C3:C39,'[1]画面定義一覧　（From Client)'!B3:B39,"",0,1)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28" t="inlineStr">
        <is>
          <t>構成について問題ないか確認する</t>
        </is>
      </c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>
      <c r="J13" s="128" t="n"/>
    </row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/>
    <row r="28" ht="15.75" customHeight="1" s="158"/>
    <row r="29" ht="15.75" customHeight="1" s="158"/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4.25" customHeight="1" s="158"/>
    <row r="36" ht="15.75" customHeight="1" s="158">
      <c r="B36" s="101" t="inlineStr">
        <is>
          <t>項目一覧 （入力項目）</t>
        </is>
      </c>
      <c r="C36" s="108" t="n"/>
      <c r="D36" s="108" t="n"/>
      <c r="E36" s="108" t="n"/>
      <c r="F36" s="108" t="n"/>
      <c r="G36" s="105" t="n"/>
      <c r="H36" s="105" t="n"/>
      <c r="I36" s="105" t="n"/>
      <c r="J36" s="105" t="n"/>
      <c r="K36" s="105" t="n"/>
      <c r="L36" s="106" t="n"/>
    </row>
    <row r="37" ht="15.75" customHeight="1" s="158">
      <c r="B37" s="109" t="inlineStr">
        <is>
          <t>大項目</t>
        </is>
      </c>
      <c r="C37" s="109" t="n"/>
      <c r="D37" s="109" t="inlineStr">
        <is>
          <t>項目名</t>
        </is>
      </c>
      <c r="E37" s="109" t="inlineStr">
        <is>
          <t>型</t>
        </is>
      </c>
      <c r="F37" s="109" t="inlineStr">
        <is>
          <t>桁数/形式</t>
        </is>
      </c>
      <c r="G37" s="110" t="inlineStr">
        <is>
          <t>必須/任意</t>
        </is>
      </c>
      <c r="H37" s="110" t="inlineStr">
        <is>
          <t>備考</t>
        </is>
      </c>
      <c r="I37" s="111" t="n"/>
      <c r="J37" s="111" t="n"/>
      <c r="K37" s="111" t="n"/>
      <c r="L37" s="112" t="n"/>
    </row>
    <row r="38" ht="15.75" customHeight="1" s="158">
      <c r="B38" s="120" t="n"/>
      <c r="C38" s="20" t="n"/>
      <c r="D38" s="20" t="n"/>
      <c r="E38" s="120" t="n"/>
      <c r="F38" s="20" t="n"/>
      <c r="G38" s="120" t="n"/>
      <c r="H38" s="122" t="n"/>
      <c r="I38" s="114" t="n"/>
      <c r="J38" s="114" t="n"/>
      <c r="K38" s="114" t="n"/>
      <c r="L38" s="102" t="n"/>
    </row>
    <row r="39" ht="15.75" customHeight="1" s="158">
      <c r="B39" s="101" t="inlineStr">
        <is>
          <t>項目一覧  （表示情報)</t>
        </is>
      </c>
      <c r="C39" s="108" t="n"/>
      <c r="D39" s="108" t="n"/>
      <c r="E39" s="108" t="n"/>
      <c r="F39" s="108" t="n"/>
      <c r="G39" s="108" t="n"/>
      <c r="H39" s="105" t="n"/>
      <c r="I39" s="105" t="n"/>
      <c r="J39" s="105" t="n"/>
      <c r="K39" s="105" t="n"/>
      <c r="L39" s="106" t="n"/>
    </row>
    <row r="40" ht="15.75" customHeight="1" s="158">
      <c r="B40" s="131" t="inlineStr">
        <is>
          <t>大項目名</t>
        </is>
      </c>
      <c r="C40" s="116" t="inlineStr">
        <is>
          <t>小項目名</t>
        </is>
      </c>
      <c r="D40" s="110" t="inlineStr">
        <is>
          <t>内容</t>
        </is>
      </c>
      <c r="E40" s="111" t="n"/>
      <c r="F40" s="111" t="n"/>
      <c r="G40" s="112" t="n"/>
      <c r="H40" s="110" t="inlineStr">
        <is>
          <t>備考</t>
        </is>
      </c>
      <c r="I40" s="111" t="n"/>
      <c r="J40" s="111" t="n"/>
      <c r="K40" s="111" t="n"/>
      <c r="L40" s="112" t="n"/>
    </row>
    <row r="41" ht="15.75" customHeight="1" s="158">
      <c r="B41" s="120" t="inlineStr">
        <is>
          <t>ラベル</t>
        </is>
      </c>
      <c r="C41" s="113" t="n"/>
      <c r="D41" s="121" t="inlineStr">
        <is>
          <t>ラベル表示</t>
        </is>
      </c>
      <c r="E41" s="114" t="n"/>
      <c r="F41" s="114" t="n"/>
      <c r="G41" s="102" t="n"/>
      <c r="H41" s="122" t="n"/>
      <c r="I41" s="114" t="n"/>
      <c r="J41" s="114" t="n"/>
      <c r="K41" s="114" t="n"/>
      <c r="L41" s="102" t="n"/>
    </row>
    <row r="42" ht="15.75" customHeight="1" s="158">
      <c r="B42" s="123" t="inlineStr">
        <is>
          <t>内容</t>
        </is>
      </c>
      <c r="C42" s="113" t="n"/>
      <c r="D42" s="122" t="n"/>
      <c r="F42" s="114" t="n"/>
      <c r="G42" s="102" t="n"/>
      <c r="H42" s="122" t="n"/>
      <c r="I42" s="114" t="n"/>
      <c r="J42" s="114" t="n"/>
      <c r="K42" s="114" t="n"/>
      <c r="L42" s="102" t="n"/>
    </row>
    <row r="43" ht="15.75" customHeight="1" s="158">
      <c r="B43" s="120" t="n"/>
      <c r="C43" s="120" t="inlineStr">
        <is>
          <t>大項目</t>
        </is>
      </c>
      <c r="D43" s="122">
        <f>C43&amp;"を表示する"</f>
        <v/>
      </c>
      <c r="E43" s="114" t="n"/>
      <c r="F43" s="114" t="n"/>
      <c r="G43" s="102" t="n"/>
      <c r="H43" s="122" t="n"/>
      <c r="I43" s="114" t="n"/>
      <c r="J43" s="114" t="n"/>
      <c r="K43" s="114" t="n"/>
      <c r="L43" s="102" t="n"/>
    </row>
    <row r="44" ht="15.75" customHeight="1" s="158">
      <c r="B44" s="120" t="n"/>
      <c r="C44" s="120" t="inlineStr">
        <is>
          <t>中項目</t>
        </is>
      </c>
      <c r="D44" s="122">
        <f>C44&amp;"を表示する"</f>
        <v/>
      </c>
      <c r="E44" s="114" t="n"/>
      <c r="F44" s="114" t="n"/>
      <c r="G44" s="102" t="n"/>
      <c r="H44" s="122" t="n"/>
      <c r="I44" s="114" t="n"/>
      <c r="J44" s="114" t="n"/>
      <c r="K44" s="114" t="n"/>
      <c r="L44" s="102" t="n"/>
    </row>
    <row r="45" ht="15.75" customHeight="1" s="158">
      <c r="B45" s="120" t="n"/>
      <c r="C45" s="120" t="inlineStr">
        <is>
          <t>小項目</t>
        </is>
      </c>
      <c r="D45" s="122">
        <f>C45&amp;"を表示する"</f>
        <v/>
      </c>
      <c r="E45" s="114" t="n"/>
      <c r="F45" s="114" t="n"/>
      <c r="G45" s="102" t="n"/>
      <c r="H45" s="122" t="n"/>
      <c r="I45" s="114" t="n"/>
      <c r="J45" s="114" t="n"/>
      <c r="K45" s="114" t="n"/>
      <c r="L45" s="102" t="n"/>
    </row>
    <row r="46" ht="15.75" customHeight="1" s="158">
      <c r="B46" s="120" t="n"/>
      <c r="C46" s="120" t="inlineStr">
        <is>
          <t>内容詳細</t>
        </is>
      </c>
      <c r="D46" s="122">
        <f>C46&amp;"を表示する"</f>
        <v/>
      </c>
      <c r="E46" s="114" t="n"/>
      <c r="F46" s="114" t="n"/>
      <c r="G46" s="102" t="n"/>
      <c r="H46" s="122" t="n"/>
      <c r="I46" s="114" t="n"/>
      <c r="J46" s="114" t="n"/>
      <c r="K46" s="114" t="n"/>
      <c r="L46" s="102" t="n"/>
    </row>
    <row r="47" ht="16.5" customHeight="1" s="158">
      <c r="B47" s="120" t="inlineStr">
        <is>
          <t>トップへ戻る</t>
        </is>
      </c>
      <c r="C47" s="120" t="n"/>
      <c r="D47" s="121" t="n"/>
      <c r="E47" s="114" t="n"/>
      <c r="F47" s="114" t="n"/>
      <c r="G47" s="102" t="n"/>
      <c r="H47" s="122" t="n"/>
      <c r="I47" s="114" t="n"/>
      <c r="J47" s="114" t="n"/>
      <c r="K47" s="114" t="n"/>
      <c r="L47" s="102" t="n"/>
    </row>
    <row r="48" ht="15.75" customHeight="1" s="158">
      <c r="A48" s="40" t="n"/>
      <c r="B48" s="101" t="inlineStr">
        <is>
          <t>項目一覧  （出力項目)</t>
        </is>
      </c>
      <c r="C48" s="108" t="n"/>
      <c r="D48" s="108" t="n"/>
      <c r="E48" s="108" t="n"/>
      <c r="F48" s="108" t="n"/>
      <c r="G48" s="108" t="n"/>
      <c r="H48" s="105" t="n"/>
      <c r="I48" s="105" t="n"/>
      <c r="J48" s="105" t="n"/>
      <c r="K48" s="105" t="n"/>
      <c r="L48" s="106" t="n"/>
    </row>
    <row r="49" ht="15.75" customHeight="1" s="158">
      <c r="A49" s="40" t="n"/>
      <c r="B49" s="131" t="inlineStr">
        <is>
          <t>大項目名</t>
        </is>
      </c>
      <c r="C49" s="116" t="inlineStr">
        <is>
          <t>小項目名</t>
        </is>
      </c>
      <c r="D49" s="110" t="inlineStr">
        <is>
          <t>内容</t>
        </is>
      </c>
      <c r="E49" s="111" t="n"/>
      <c r="F49" s="111" t="n"/>
      <c r="G49" s="112" t="n"/>
      <c r="H49" s="110" t="inlineStr">
        <is>
          <t>備考</t>
        </is>
      </c>
      <c r="I49" s="111" t="n"/>
      <c r="J49" s="111" t="n"/>
      <c r="K49" s="111" t="n"/>
      <c r="L49" s="112" t="n"/>
    </row>
    <row r="50" ht="15.75" customHeight="1" s="158">
      <c r="A50" s="40" t="n"/>
      <c r="B50" s="120" t="n"/>
      <c r="C50" s="113" t="n"/>
      <c r="D50" s="122" t="n"/>
      <c r="E50" s="114" t="n"/>
      <c r="F50" s="114" t="n"/>
      <c r="G50" s="102" t="n"/>
      <c r="H50" s="113" t="n"/>
      <c r="I50" s="114" t="n"/>
      <c r="J50" s="114" t="n"/>
      <c r="K50" s="114" t="n"/>
      <c r="L50" s="102" t="n"/>
    </row>
    <row r="51" ht="15.75" customHeight="1" s="158">
      <c r="A51" s="40" t="n"/>
      <c r="B51" s="101" t="inlineStr">
        <is>
          <t>アクション仕様</t>
        </is>
      </c>
      <c r="C51" s="108" t="n"/>
      <c r="D51" s="108" t="n"/>
      <c r="E51" s="108" t="n"/>
      <c r="F51" s="108" t="n"/>
      <c r="G51" s="108" t="n"/>
      <c r="H51" s="105" t="n"/>
      <c r="I51" s="105" t="n"/>
      <c r="J51" s="105" t="n"/>
      <c r="K51" s="105" t="n"/>
      <c r="L51" s="106" t="n"/>
    </row>
    <row r="52" ht="15.75" customHeight="1" s="158">
      <c r="A52" s="40" t="n"/>
      <c r="B52" s="110" t="inlineStr">
        <is>
          <t>アクション</t>
        </is>
      </c>
      <c r="C52" s="111" t="n"/>
      <c r="D52" s="111" t="n"/>
      <c r="E52" s="111" t="n"/>
      <c r="F52" s="111" t="n"/>
      <c r="G52" s="110" t="inlineStr">
        <is>
          <t>備考</t>
        </is>
      </c>
      <c r="H52" s="111" t="n"/>
      <c r="I52" s="111" t="n"/>
      <c r="J52" s="111" t="n"/>
      <c r="K52" s="111" t="n"/>
      <c r="L52" s="112" t="n"/>
    </row>
    <row r="53" ht="15.75" customHeight="1" s="158">
      <c r="B53" s="122" t="n"/>
      <c r="C53" s="114" t="n"/>
      <c r="D53" s="114" t="n"/>
      <c r="E53" s="114" t="n"/>
      <c r="F53" s="102" t="n"/>
      <c r="G53" s="113" t="n"/>
      <c r="H53" s="114" t="n"/>
      <c r="I53" s="114" t="n"/>
      <c r="J53" s="114" t="n"/>
      <c r="K53" s="114" t="n"/>
      <c r="L53" s="102" t="n"/>
    </row>
    <row r="54" ht="15.75" customHeight="1" s="158">
      <c r="B54" s="101" t="inlineStr">
        <is>
          <t>出力仕様（エラーメッセージ）</t>
        </is>
      </c>
      <c r="C54" s="108" t="n"/>
      <c r="D54" s="108" t="n"/>
      <c r="E54" s="108" t="n"/>
      <c r="F54" s="108" t="n"/>
      <c r="G54" s="108" t="n"/>
      <c r="H54" s="105" t="n"/>
      <c r="I54" s="105" t="n"/>
      <c r="J54" s="105" t="n"/>
      <c r="K54" s="105" t="n"/>
      <c r="L54" s="106" t="n"/>
    </row>
    <row r="55" ht="15.75" customHeight="1" s="158">
      <c r="A55" s="40" t="n"/>
      <c r="B55" s="110" t="inlineStr">
        <is>
          <t>エラーメッセージ</t>
        </is>
      </c>
      <c r="C55" s="111" t="n"/>
      <c r="D55" s="111" t="n"/>
      <c r="E55" s="111" t="n"/>
      <c r="F55" s="111" t="n"/>
      <c r="G55" s="110" t="inlineStr">
        <is>
          <t>備考</t>
        </is>
      </c>
      <c r="H55" s="111" t="n"/>
      <c r="I55" s="111" t="n"/>
      <c r="J55" s="111" t="n"/>
      <c r="K55" s="111" t="n"/>
      <c r="L55" s="112" t="n"/>
    </row>
    <row r="56" ht="15.75" customHeight="1" s="158">
      <c r="A56" s="40" t="n"/>
      <c r="B56" s="122" t="n"/>
      <c r="C56" s="114" t="n"/>
      <c r="D56" s="114" t="n"/>
      <c r="E56" s="114" t="n"/>
      <c r="F56" s="102" t="n"/>
      <c r="G56" s="113" t="n"/>
      <c r="H56" s="114" t="n"/>
      <c r="I56" s="114" t="n"/>
      <c r="J56" s="114" t="n"/>
      <c r="K56" s="114" t="n"/>
      <c r="L56" s="102" t="n"/>
    </row>
    <row r="57" ht="15.75" customHeight="1" s="158"/>
    <row r="58" ht="15.75" customHeight="1" s="158"/>
    <row r="59" ht="15.75" customHeight="1" s="158"/>
    <row r="60" ht="15.75" customHeight="1" s="158"/>
    <row r="61" ht="15.75" customHeight="1" s="158"/>
    <row r="62" ht="15.75" customHeight="1" s="158"/>
    <row r="63" ht="15.75" customHeight="1" s="158"/>
    <row r="64" ht="15.75" customHeight="1" s="158"/>
    <row r="65" ht="15.75" customHeight="1" s="158"/>
    <row r="66" ht="15.75" customHeight="1" s="158"/>
    <row r="67" ht="15.75" customHeight="1" s="158"/>
    <row r="68" ht="15.75" customHeight="1" s="158"/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0070C0"/>
    <outlinePr summaryBelow="0" summaryRight="0"/>
    <pageSetUpPr/>
  </sheetPr>
  <dimension ref="A1:O57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5" customWidth="1" style="158" min="2" max="2"/>
    <col width="12.38" customWidth="1" style="158" min="3" max="3"/>
    <col width="11.13" customWidth="1" style="158" min="4" max="15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Client)'!C3:C39,'[1]画面定義一覧　（From Client)'!B3:B39,"",0,1)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28" t="inlineStr">
        <is>
          <t>構成について問題ないか確認する</t>
        </is>
      </c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>
      <c r="J13" s="128" t="n"/>
    </row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/>
    <row r="28" ht="15.75" customHeight="1" s="158"/>
    <row r="29" ht="15.75" customHeight="1" s="158"/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4.25" customHeight="1" s="158"/>
    <row r="36" ht="15.75" customHeight="1" s="158"/>
    <row r="37" ht="15.75" customHeight="1" s="158">
      <c r="B37" s="101" t="inlineStr">
        <is>
          <t>項目一覧 （入力項目）</t>
        </is>
      </c>
      <c r="C37" s="108" t="n"/>
      <c r="D37" s="108" t="n"/>
      <c r="E37" s="108" t="n"/>
      <c r="F37" s="108" t="n"/>
      <c r="G37" s="105" t="n"/>
      <c r="H37" s="105" t="n"/>
      <c r="I37" s="105" t="n"/>
      <c r="J37" s="105" t="n"/>
      <c r="K37" s="105" t="n"/>
      <c r="L37" s="106" t="n"/>
    </row>
    <row r="38" ht="15.75" customHeight="1" s="158">
      <c r="B38" s="109" t="inlineStr">
        <is>
          <t>大項目</t>
        </is>
      </c>
      <c r="C38" s="109" t="n"/>
      <c r="D38" s="109" t="inlineStr">
        <is>
          <t>項目名</t>
        </is>
      </c>
      <c r="E38" s="109" t="inlineStr">
        <is>
          <t>型</t>
        </is>
      </c>
      <c r="F38" s="109" t="inlineStr">
        <is>
          <t>桁数/形式</t>
        </is>
      </c>
      <c r="G38" s="110" t="inlineStr">
        <is>
          <t>必須/任意</t>
        </is>
      </c>
      <c r="H38" s="110" t="inlineStr">
        <is>
          <t>備考</t>
        </is>
      </c>
      <c r="I38" s="111" t="n"/>
      <c r="J38" s="111" t="n"/>
      <c r="K38" s="111" t="n"/>
      <c r="L38" s="112" t="n"/>
    </row>
    <row r="39" ht="15.75" customHeight="1" s="158">
      <c r="B39" s="120" t="n"/>
      <c r="C39" s="20" t="n"/>
      <c r="D39" s="20" t="n"/>
      <c r="E39" s="120" t="n"/>
      <c r="F39" s="20" t="n"/>
      <c r="G39" s="120" t="n"/>
      <c r="H39" s="122" t="n"/>
      <c r="I39" s="114" t="n"/>
      <c r="J39" s="114" t="n"/>
      <c r="K39" s="114" t="n"/>
      <c r="L39" s="102" t="n"/>
    </row>
    <row r="40" ht="15.75" customHeight="1" s="158">
      <c r="B40" s="101" t="inlineStr">
        <is>
          <t>項目一覧  （表示情報)</t>
        </is>
      </c>
      <c r="C40" s="108" t="n"/>
      <c r="D40" s="108" t="n"/>
      <c r="E40" s="108" t="n"/>
      <c r="F40" s="108" t="n"/>
      <c r="G40" s="108" t="n"/>
      <c r="H40" s="105" t="n"/>
      <c r="I40" s="105" t="n"/>
      <c r="J40" s="105" t="n"/>
      <c r="K40" s="105" t="n"/>
      <c r="L40" s="106" t="n"/>
    </row>
    <row r="41" ht="15.75" customHeight="1" s="158">
      <c r="B41" s="131" t="inlineStr">
        <is>
          <t>大項目名</t>
        </is>
      </c>
      <c r="C41" s="116" t="inlineStr">
        <is>
          <t>小項目名</t>
        </is>
      </c>
      <c r="D41" s="110" t="inlineStr">
        <is>
          <t>内容</t>
        </is>
      </c>
      <c r="E41" s="111" t="n"/>
      <c r="F41" s="111" t="n"/>
      <c r="G41" s="112" t="n"/>
      <c r="H41" s="110" t="inlineStr">
        <is>
          <t>備考</t>
        </is>
      </c>
      <c r="I41" s="111" t="n"/>
      <c r="J41" s="111" t="n"/>
      <c r="K41" s="111" t="n"/>
      <c r="L41" s="112" t="n"/>
    </row>
    <row r="42" ht="15.75" customHeight="1" s="158">
      <c r="B42" s="120" t="inlineStr">
        <is>
          <t>ラベル</t>
        </is>
      </c>
      <c r="C42" s="113" t="n"/>
      <c r="D42" s="121" t="inlineStr">
        <is>
          <t>ラベル表示</t>
        </is>
      </c>
      <c r="E42" s="114" t="n"/>
      <c r="F42" s="114" t="n"/>
      <c r="G42" s="102" t="n"/>
      <c r="H42" s="122" t="n"/>
      <c r="I42" s="114" t="n"/>
      <c r="J42" s="114" t="n"/>
      <c r="K42" s="114" t="n"/>
      <c r="L42" s="102" t="n"/>
    </row>
    <row r="43" ht="15.75" customHeight="1" s="158">
      <c r="B43" s="123" t="inlineStr">
        <is>
          <t>内容</t>
        </is>
      </c>
      <c r="C43" s="113" t="n"/>
      <c r="D43" s="122" t="n"/>
      <c r="F43" s="114" t="n"/>
      <c r="G43" s="102" t="n"/>
      <c r="H43" s="122" t="n"/>
      <c r="I43" s="114" t="n"/>
      <c r="J43" s="114" t="n"/>
      <c r="K43" s="114" t="n"/>
      <c r="L43" s="102" t="n"/>
    </row>
    <row r="44" ht="15.75" customHeight="1" s="158">
      <c r="B44" s="120" t="n"/>
      <c r="C44" s="120" t="inlineStr">
        <is>
          <t>大項目</t>
        </is>
      </c>
      <c r="D44" s="122">
        <f>C44&amp;"を表示する"</f>
        <v/>
      </c>
      <c r="E44" s="114" t="n"/>
      <c r="F44" s="114" t="n"/>
      <c r="G44" s="102" t="n"/>
      <c r="H44" s="122" t="n"/>
      <c r="I44" s="114" t="n"/>
      <c r="J44" s="114" t="n"/>
      <c r="K44" s="114" t="n"/>
      <c r="L44" s="102" t="n"/>
    </row>
    <row r="45" ht="15.75" customHeight="1" s="158">
      <c r="B45" s="120" t="n"/>
      <c r="C45" s="120" t="inlineStr">
        <is>
          <t>中項目</t>
        </is>
      </c>
      <c r="D45" s="122">
        <f>C45&amp;"を表示する"</f>
        <v/>
      </c>
      <c r="E45" s="114" t="n"/>
      <c r="F45" s="114" t="n"/>
      <c r="G45" s="102" t="n"/>
      <c r="H45" s="122" t="n"/>
      <c r="I45" s="114" t="n"/>
      <c r="J45" s="114" t="n"/>
      <c r="K45" s="114" t="n"/>
      <c r="L45" s="102" t="n"/>
    </row>
    <row r="46" ht="15.75" customHeight="1" s="158">
      <c r="B46" s="120" t="n"/>
      <c r="C46" s="120" t="inlineStr">
        <is>
          <t>小項目</t>
        </is>
      </c>
      <c r="D46" s="122">
        <f>C46&amp;"を表示する"</f>
        <v/>
      </c>
      <c r="E46" s="114" t="n"/>
      <c r="F46" s="114" t="n"/>
      <c r="G46" s="102" t="n"/>
      <c r="H46" s="122" t="n"/>
      <c r="I46" s="114" t="n"/>
      <c r="J46" s="114" t="n"/>
      <c r="K46" s="114" t="n"/>
      <c r="L46" s="102" t="n"/>
    </row>
    <row r="47" ht="15.75" customHeight="1" s="158">
      <c r="B47" s="120" t="n"/>
      <c r="C47" s="120" t="inlineStr">
        <is>
          <t>内容詳細</t>
        </is>
      </c>
      <c r="D47" s="122">
        <f>C47&amp;"を表示する"</f>
        <v/>
      </c>
      <c r="E47" s="114" t="n"/>
      <c r="F47" s="114" t="n"/>
      <c r="G47" s="102" t="n"/>
      <c r="H47" s="122" t="n"/>
      <c r="I47" s="114" t="n"/>
      <c r="J47" s="114" t="n"/>
      <c r="K47" s="114" t="n"/>
      <c r="L47" s="102" t="n"/>
    </row>
    <row r="48" ht="16.5" customHeight="1" s="158">
      <c r="B48" s="120" t="inlineStr">
        <is>
          <t>トップへ戻る</t>
        </is>
      </c>
      <c r="C48" s="120" t="n"/>
      <c r="D48" s="121" t="n"/>
      <c r="E48" s="114" t="n"/>
      <c r="F48" s="114" t="n"/>
      <c r="G48" s="102" t="n"/>
      <c r="H48" s="122" t="n"/>
      <c r="I48" s="114" t="n"/>
      <c r="J48" s="114" t="n"/>
      <c r="K48" s="114" t="n"/>
      <c r="L48" s="102" t="n"/>
    </row>
    <row r="49" ht="15.75" customHeight="1" s="158">
      <c r="A49" s="40" t="n"/>
      <c r="B49" s="101" t="inlineStr">
        <is>
          <t>項目一覧  （出力項目)</t>
        </is>
      </c>
      <c r="C49" s="108" t="n"/>
      <c r="D49" s="108" t="n"/>
      <c r="E49" s="108" t="n"/>
      <c r="F49" s="108" t="n"/>
      <c r="G49" s="108" t="n"/>
      <c r="H49" s="105" t="n"/>
      <c r="I49" s="105" t="n"/>
      <c r="J49" s="105" t="n"/>
      <c r="K49" s="105" t="n"/>
      <c r="L49" s="106" t="n"/>
    </row>
    <row r="50" ht="15.75" customHeight="1" s="158">
      <c r="A50" s="40" t="n"/>
      <c r="B50" s="131" t="inlineStr">
        <is>
          <t>大項目名</t>
        </is>
      </c>
      <c r="C50" s="116" t="inlineStr">
        <is>
          <t>小項目名</t>
        </is>
      </c>
      <c r="D50" s="110" t="inlineStr">
        <is>
          <t>内容</t>
        </is>
      </c>
      <c r="E50" s="111" t="n"/>
      <c r="F50" s="111" t="n"/>
      <c r="G50" s="112" t="n"/>
      <c r="H50" s="110" t="inlineStr">
        <is>
          <t>備考</t>
        </is>
      </c>
      <c r="I50" s="111" t="n"/>
      <c r="J50" s="111" t="n"/>
      <c r="K50" s="111" t="n"/>
      <c r="L50" s="112" t="n"/>
    </row>
    <row r="51" ht="15.75" customHeight="1" s="158">
      <c r="A51" s="40" t="n"/>
      <c r="B51" s="120" t="n"/>
      <c r="C51" s="113" t="n"/>
      <c r="D51" s="122" t="n"/>
      <c r="E51" s="114" t="n"/>
      <c r="F51" s="114" t="n"/>
      <c r="G51" s="102" t="n"/>
      <c r="H51" s="113" t="n"/>
      <c r="I51" s="114" t="n"/>
      <c r="J51" s="114" t="n"/>
      <c r="K51" s="114" t="n"/>
      <c r="L51" s="102" t="n"/>
    </row>
    <row r="52" ht="15.75" customHeight="1" s="158">
      <c r="A52" s="40" t="n"/>
      <c r="B52" s="101" t="inlineStr">
        <is>
          <t>アクション仕様</t>
        </is>
      </c>
      <c r="C52" s="108" t="n"/>
      <c r="D52" s="108" t="n"/>
      <c r="E52" s="108" t="n"/>
      <c r="F52" s="108" t="n"/>
      <c r="G52" s="108" t="n"/>
      <c r="H52" s="105" t="n"/>
      <c r="I52" s="105" t="n"/>
      <c r="J52" s="105" t="n"/>
      <c r="K52" s="105" t="n"/>
      <c r="L52" s="106" t="n"/>
    </row>
    <row r="53" ht="15.75" customHeight="1" s="158">
      <c r="A53" s="40" t="n"/>
      <c r="B53" s="110" t="inlineStr">
        <is>
          <t>アクション</t>
        </is>
      </c>
      <c r="C53" s="111" t="n"/>
      <c r="D53" s="111" t="n"/>
      <c r="E53" s="111" t="n"/>
      <c r="F53" s="111" t="n"/>
      <c r="G53" s="110" t="inlineStr">
        <is>
          <t>備考</t>
        </is>
      </c>
      <c r="H53" s="111" t="n"/>
      <c r="I53" s="111" t="n"/>
      <c r="J53" s="111" t="n"/>
      <c r="K53" s="111" t="n"/>
      <c r="L53" s="112" t="n"/>
    </row>
    <row r="54" ht="15.75" customHeight="1" s="158">
      <c r="B54" s="122" t="n"/>
      <c r="C54" s="114" t="n"/>
      <c r="D54" s="114" t="n"/>
      <c r="E54" s="114" t="n"/>
      <c r="F54" s="102" t="n"/>
      <c r="G54" s="113" t="n"/>
      <c r="H54" s="114" t="n"/>
      <c r="I54" s="114" t="n"/>
      <c r="J54" s="114" t="n"/>
      <c r="K54" s="114" t="n"/>
      <c r="L54" s="102" t="n"/>
    </row>
    <row r="55" ht="15.75" customHeight="1" s="158">
      <c r="B55" s="101" t="inlineStr">
        <is>
          <t>出力仕様（エラーメッセージ）</t>
        </is>
      </c>
      <c r="C55" s="108" t="n"/>
      <c r="D55" s="108" t="n"/>
      <c r="E55" s="108" t="n"/>
      <c r="F55" s="108" t="n"/>
      <c r="G55" s="108" t="n"/>
      <c r="H55" s="105" t="n"/>
      <c r="I55" s="105" t="n"/>
      <c r="J55" s="105" t="n"/>
      <c r="K55" s="105" t="n"/>
      <c r="L55" s="106" t="n"/>
    </row>
    <row r="56" ht="15.75" customHeight="1" s="158">
      <c r="A56" s="40" t="n"/>
      <c r="B56" s="110" t="inlineStr">
        <is>
          <t>エラーメッセージ</t>
        </is>
      </c>
      <c r="C56" s="111" t="n"/>
      <c r="D56" s="111" t="n"/>
      <c r="E56" s="111" t="n"/>
      <c r="F56" s="111" t="n"/>
      <c r="G56" s="110" t="inlineStr">
        <is>
          <t>備考</t>
        </is>
      </c>
      <c r="H56" s="111" t="n"/>
      <c r="I56" s="111" t="n"/>
      <c r="J56" s="111" t="n"/>
      <c r="K56" s="111" t="n"/>
      <c r="L56" s="112" t="n"/>
    </row>
    <row r="57" ht="15.75" customHeight="1" s="158">
      <c r="A57" s="40" t="n"/>
      <c r="B57" s="122" t="n"/>
      <c r="C57" s="114" t="n"/>
      <c r="D57" s="114" t="n"/>
      <c r="E57" s="114" t="n"/>
      <c r="F57" s="102" t="n"/>
      <c r="G57" s="113" t="n"/>
      <c r="H57" s="114" t="n"/>
      <c r="I57" s="114" t="n"/>
      <c r="J57" s="114" t="n"/>
      <c r="K57" s="114" t="n"/>
      <c r="L57" s="102" t="n"/>
    </row>
    <row r="58" ht="15.75" customHeight="1" s="158"/>
    <row r="59" ht="15.75" customHeight="1" s="158"/>
    <row r="60" ht="15.75" customHeight="1" s="158"/>
    <row r="61" ht="15.75" customHeight="1" s="158"/>
    <row r="62" ht="15.75" customHeight="1" s="158"/>
    <row r="63" ht="15.75" customHeight="1" s="158"/>
    <row r="64" ht="15.75" customHeight="1" s="158"/>
    <row r="65" ht="15.75" customHeight="1" s="158"/>
    <row r="66" ht="15.75" customHeight="1" s="158"/>
    <row r="67" ht="15.75" customHeight="1" s="158"/>
    <row r="68" ht="15.75" customHeight="1" s="158"/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0070C0"/>
    <outlinePr summaryBelow="0" summaryRight="0"/>
    <pageSetUpPr/>
  </sheetPr>
  <dimension ref="A1:O56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5" customWidth="1" style="158" min="2" max="2"/>
    <col width="12.38" customWidth="1" style="158" min="3" max="3"/>
    <col width="11.13" customWidth="1" style="158" min="4" max="15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Client)'!C3:C39,'[1]画面定義一覧　（From Client)'!B3:B39,"",0,1)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28" t="inlineStr">
        <is>
          <t>構成について問題ないか確認する</t>
        </is>
      </c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>
      <c r="J13" s="128" t="n"/>
    </row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/>
    <row r="28" ht="15.75" customHeight="1" s="158"/>
    <row r="29" ht="15.75" customHeight="1" s="158"/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4.25" customHeight="1" s="158"/>
    <row r="36" ht="15.75" customHeight="1" s="158">
      <c r="B36" s="101" t="inlineStr">
        <is>
          <t>項目一覧 （入力項目）</t>
        </is>
      </c>
      <c r="C36" s="108" t="n"/>
      <c r="D36" s="108" t="n"/>
      <c r="E36" s="108" t="n"/>
      <c r="F36" s="108" t="n"/>
      <c r="G36" s="105" t="n"/>
      <c r="H36" s="105" t="n"/>
      <c r="I36" s="105" t="n"/>
      <c r="J36" s="105" t="n"/>
      <c r="K36" s="105" t="n"/>
      <c r="L36" s="106" t="n"/>
    </row>
    <row r="37" ht="15.75" customHeight="1" s="158">
      <c r="B37" s="109" t="inlineStr">
        <is>
          <t>大項目</t>
        </is>
      </c>
      <c r="C37" s="109" t="n"/>
      <c r="D37" s="109" t="inlineStr">
        <is>
          <t>項目名</t>
        </is>
      </c>
      <c r="E37" s="109" t="inlineStr">
        <is>
          <t>型</t>
        </is>
      </c>
      <c r="F37" s="109" t="inlineStr">
        <is>
          <t>桁数/形式</t>
        </is>
      </c>
      <c r="G37" s="110" t="inlineStr">
        <is>
          <t>必須/任意</t>
        </is>
      </c>
      <c r="H37" s="110" t="inlineStr">
        <is>
          <t>備考</t>
        </is>
      </c>
      <c r="I37" s="111" t="n"/>
      <c r="J37" s="111" t="n"/>
      <c r="K37" s="111" t="n"/>
      <c r="L37" s="112" t="n"/>
    </row>
    <row r="38" ht="15.75" customHeight="1" s="158">
      <c r="B38" s="120" t="n"/>
      <c r="C38" s="20" t="n"/>
      <c r="D38" s="20" t="n"/>
      <c r="E38" s="120" t="n"/>
      <c r="F38" s="20" t="n"/>
      <c r="G38" s="120" t="n"/>
      <c r="H38" s="122" t="n"/>
      <c r="I38" s="114" t="n"/>
      <c r="J38" s="114" t="n"/>
      <c r="K38" s="114" t="n"/>
      <c r="L38" s="102" t="n"/>
    </row>
    <row r="39" ht="15.75" customHeight="1" s="158">
      <c r="B39" s="101" t="inlineStr">
        <is>
          <t>項目一覧  （表示情報)</t>
        </is>
      </c>
      <c r="C39" s="108" t="n"/>
      <c r="D39" s="108" t="n"/>
      <c r="E39" s="108" t="n"/>
      <c r="F39" s="108" t="n"/>
      <c r="G39" s="108" t="n"/>
      <c r="H39" s="105" t="n"/>
      <c r="I39" s="105" t="n"/>
      <c r="J39" s="105" t="n"/>
      <c r="K39" s="105" t="n"/>
      <c r="L39" s="106" t="n"/>
    </row>
    <row r="40" ht="15.75" customHeight="1" s="158">
      <c r="B40" s="131" t="inlineStr">
        <is>
          <t>大項目名</t>
        </is>
      </c>
      <c r="C40" s="116" t="inlineStr">
        <is>
          <t>小項目名</t>
        </is>
      </c>
      <c r="D40" s="110" t="inlineStr">
        <is>
          <t>内容</t>
        </is>
      </c>
      <c r="E40" s="111" t="n"/>
      <c r="F40" s="111" t="n"/>
      <c r="G40" s="112" t="n"/>
      <c r="H40" s="110" t="inlineStr">
        <is>
          <t>備考</t>
        </is>
      </c>
      <c r="I40" s="111" t="n"/>
      <c r="J40" s="111" t="n"/>
      <c r="K40" s="111" t="n"/>
      <c r="L40" s="112" t="n"/>
    </row>
    <row r="41" ht="15.75" customHeight="1" s="158">
      <c r="B41" s="120" t="inlineStr">
        <is>
          <t>ラベル</t>
        </is>
      </c>
      <c r="C41" s="113" t="n"/>
      <c r="D41" s="121" t="inlineStr">
        <is>
          <t>ラベル表示</t>
        </is>
      </c>
      <c r="E41" s="114" t="n"/>
      <c r="F41" s="114" t="n"/>
      <c r="G41" s="102" t="n"/>
      <c r="H41" s="122" t="n"/>
      <c r="I41" s="114" t="n"/>
      <c r="J41" s="114" t="n"/>
      <c r="K41" s="114" t="n"/>
      <c r="L41" s="102" t="n"/>
    </row>
    <row r="42" ht="15.75" customHeight="1" s="158">
      <c r="B42" s="123" t="inlineStr">
        <is>
          <t>内容</t>
        </is>
      </c>
      <c r="C42" s="113" t="n"/>
      <c r="D42" s="122" t="n"/>
      <c r="F42" s="114" t="n"/>
      <c r="G42" s="102" t="n"/>
      <c r="H42" s="122" t="n"/>
      <c r="I42" s="114" t="n"/>
      <c r="J42" s="114" t="n"/>
      <c r="K42" s="114" t="n"/>
      <c r="L42" s="102" t="n"/>
    </row>
    <row r="43" ht="15.75" customHeight="1" s="158">
      <c r="B43" s="120" t="n"/>
      <c r="C43" s="120" t="inlineStr">
        <is>
          <t>大項目</t>
        </is>
      </c>
      <c r="D43" s="122">
        <f>C43&amp;"を表示する"</f>
        <v/>
      </c>
      <c r="E43" s="114" t="n"/>
      <c r="F43" s="114" t="n"/>
      <c r="G43" s="102" t="n"/>
      <c r="H43" s="122" t="n"/>
      <c r="I43" s="114" t="n"/>
      <c r="J43" s="114" t="n"/>
      <c r="K43" s="114" t="n"/>
      <c r="L43" s="102" t="n"/>
    </row>
    <row r="44" ht="15.75" customHeight="1" s="158">
      <c r="B44" s="120" t="n"/>
      <c r="C44" s="120" t="inlineStr">
        <is>
          <t>中項目</t>
        </is>
      </c>
      <c r="D44" s="122">
        <f>C44&amp;"を表示する"</f>
        <v/>
      </c>
      <c r="E44" s="114" t="n"/>
      <c r="F44" s="114" t="n"/>
      <c r="G44" s="102" t="n"/>
      <c r="H44" s="122" t="n"/>
      <c r="I44" s="114" t="n"/>
      <c r="J44" s="114" t="n"/>
      <c r="K44" s="114" t="n"/>
      <c r="L44" s="102" t="n"/>
    </row>
    <row r="45" ht="15.75" customHeight="1" s="158">
      <c r="B45" s="120" t="n"/>
      <c r="C45" s="120" t="inlineStr">
        <is>
          <t>小項目</t>
        </is>
      </c>
      <c r="D45" s="122">
        <f>C45&amp;"を表示する"</f>
        <v/>
      </c>
      <c r="E45" s="114" t="n"/>
      <c r="F45" s="114" t="n"/>
      <c r="G45" s="102" t="n"/>
      <c r="H45" s="122" t="n"/>
      <c r="I45" s="114" t="n"/>
      <c r="J45" s="114" t="n"/>
      <c r="K45" s="114" t="n"/>
      <c r="L45" s="102" t="n"/>
    </row>
    <row r="46" ht="15.75" customHeight="1" s="158">
      <c r="B46" s="120" t="n"/>
      <c r="C46" s="120" t="inlineStr">
        <is>
          <t>内容詳細</t>
        </is>
      </c>
      <c r="D46" s="122">
        <f>C46&amp;"を表示する"</f>
        <v/>
      </c>
      <c r="E46" s="114" t="n"/>
      <c r="F46" s="114" t="n"/>
      <c r="G46" s="102" t="n"/>
      <c r="H46" s="122" t="n"/>
      <c r="I46" s="114" t="n"/>
      <c r="J46" s="114" t="n"/>
      <c r="K46" s="114" t="n"/>
      <c r="L46" s="102" t="n"/>
    </row>
    <row r="47" ht="16.5" customHeight="1" s="158">
      <c r="B47" s="120" t="inlineStr">
        <is>
          <t>トップへ戻る</t>
        </is>
      </c>
      <c r="C47" s="120" t="n"/>
      <c r="D47" s="121" t="n"/>
      <c r="E47" s="114" t="n"/>
      <c r="F47" s="114" t="n"/>
      <c r="G47" s="102" t="n"/>
      <c r="H47" s="122" t="n"/>
      <c r="I47" s="114" t="n"/>
      <c r="J47" s="114" t="n"/>
      <c r="K47" s="114" t="n"/>
      <c r="L47" s="102" t="n"/>
    </row>
    <row r="48" ht="15.75" customHeight="1" s="158">
      <c r="A48" s="40" t="n"/>
      <c r="B48" s="101" t="inlineStr">
        <is>
          <t>項目一覧  （出力項目)</t>
        </is>
      </c>
      <c r="C48" s="108" t="n"/>
      <c r="D48" s="108" t="n"/>
      <c r="E48" s="108" t="n"/>
      <c r="F48" s="108" t="n"/>
      <c r="G48" s="108" t="n"/>
      <c r="H48" s="105" t="n"/>
      <c r="I48" s="105" t="n"/>
      <c r="J48" s="105" t="n"/>
      <c r="K48" s="105" t="n"/>
      <c r="L48" s="106" t="n"/>
    </row>
    <row r="49" ht="15.75" customHeight="1" s="158">
      <c r="A49" s="40" t="n"/>
      <c r="B49" s="131" t="inlineStr">
        <is>
          <t>大項目名</t>
        </is>
      </c>
      <c r="C49" s="116" t="inlineStr">
        <is>
          <t>小項目名</t>
        </is>
      </c>
      <c r="D49" s="110" t="inlineStr">
        <is>
          <t>内容</t>
        </is>
      </c>
      <c r="E49" s="111" t="n"/>
      <c r="F49" s="111" t="n"/>
      <c r="G49" s="112" t="n"/>
      <c r="H49" s="110" t="inlineStr">
        <is>
          <t>備考</t>
        </is>
      </c>
      <c r="I49" s="111" t="n"/>
      <c r="J49" s="111" t="n"/>
      <c r="K49" s="111" t="n"/>
      <c r="L49" s="112" t="n"/>
    </row>
    <row r="50" ht="15.75" customHeight="1" s="158">
      <c r="A50" s="40" t="n"/>
      <c r="B50" s="120" t="n"/>
      <c r="C50" s="113" t="n"/>
      <c r="D50" s="122" t="n"/>
      <c r="E50" s="114" t="n"/>
      <c r="F50" s="114" t="n"/>
      <c r="G50" s="102" t="n"/>
      <c r="H50" s="113" t="n"/>
      <c r="I50" s="114" t="n"/>
      <c r="J50" s="114" t="n"/>
      <c r="K50" s="114" t="n"/>
      <c r="L50" s="102" t="n"/>
    </row>
    <row r="51" ht="15.75" customHeight="1" s="158">
      <c r="A51" s="40" t="n"/>
      <c r="B51" s="101" t="inlineStr">
        <is>
          <t>アクション仕様</t>
        </is>
      </c>
      <c r="C51" s="108" t="n"/>
      <c r="D51" s="108" t="n"/>
      <c r="E51" s="108" t="n"/>
      <c r="F51" s="108" t="n"/>
      <c r="G51" s="108" t="n"/>
      <c r="H51" s="105" t="n"/>
      <c r="I51" s="105" t="n"/>
      <c r="J51" s="105" t="n"/>
      <c r="K51" s="105" t="n"/>
      <c r="L51" s="106" t="n"/>
    </row>
    <row r="52" ht="15.75" customHeight="1" s="158">
      <c r="A52" s="40" t="n"/>
      <c r="B52" s="110" t="inlineStr">
        <is>
          <t>アクション</t>
        </is>
      </c>
      <c r="C52" s="111" t="n"/>
      <c r="D52" s="111" t="n"/>
      <c r="E52" s="111" t="n"/>
      <c r="F52" s="111" t="n"/>
      <c r="G52" s="110" t="inlineStr">
        <is>
          <t>備考</t>
        </is>
      </c>
      <c r="H52" s="111" t="n"/>
      <c r="I52" s="111" t="n"/>
      <c r="J52" s="111" t="n"/>
      <c r="K52" s="111" t="n"/>
      <c r="L52" s="112" t="n"/>
    </row>
    <row r="53" ht="15.75" customHeight="1" s="158">
      <c r="B53" s="122" t="n"/>
      <c r="C53" s="114" t="n"/>
      <c r="D53" s="114" t="n"/>
      <c r="E53" s="114" t="n"/>
      <c r="F53" s="102" t="n"/>
      <c r="G53" s="113" t="n"/>
      <c r="H53" s="114" t="n"/>
      <c r="I53" s="114" t="n"/>
      <c r="J53" s="114" t="n"/>
      <c r="K53" s="114" t="n"/>
      <c r="L53" s="102" t="n"/>
    </row>
    <row r="54" ht="15.75" customHeight="1" s="158">
      <c r="B54" s="101" t="inlineStr">
        <is>
          <t>出力仕様（エラーメッセージ）</t>
        </is>
      </c>
      <c r="C54" s="108" t="n"/>
      <c r="D54" s="108" t="n"/>
      <c r="E54" s="108" t="n"/>
      <c r="F54" s="108" t="n"/>
      <c r="G54" s="108" t="n"/>
      <c r="H54" s="105" t="n"/>
      <c r="I54" s="105" t="n"/>
      <c r="J54" s="105" t="n"/>
      <c r="K54" s="105" t="n"/>
      <c r="L54" s="106" t="n"/>
    </row>
    <row r="55" ht="15.75" customHeight="1" s="158">
      <c r="A55" s="40" t="n"/>
      <c r="B55" s="110" t="inlineStr">
        <is>
          <t>エラーメッセージ</t>
        </is>
      </c>
      <c r="C55" s="111" t="n"/>
      <c r="D55" s="111" t="n"/>
      <c r="E55" s="111" t="n"/>
      <c r="F55" s="111" t="n"/>
      <c r="G55" s="110" t="inlineStr">
        <is>
          <t>備考</t>
        </is>
      </c>
      <c r="H55" s="111" t="n"/>
      <c r="I55" s="111" t="n"/>
      <c r="J55" s="111" t="n"/>
      <c r="K55" s="111" t="n"/>
      <c r="L55" s="112" t="n"/>
    </row>
    <row r="56" ht="15.75" customHeight="1" s="158">
      <c r="A56" s="40" t="n"/>
      <c r="B56" s="122" t="n"/>
      <c r="C56" s="114" t="n"/>
      <c r="D56" s="114" t="n"/>
      <c r="E56" s="114" t="n"/>
      <c r="F56" s="102" t="n"/>
      <c r="G56" s="113" t="n"/>
      <c r="H56" s="114" t="n"/>
      <c r="I56" s="114" t="n"/>
      <c r="J56" s="114" t="n"/>
      <c r="K56" s="114" t="n"/>
      <c r="L56" s="102" t="n"/>
    </row>
    <row r="57" ht="15.75" customHeight="1" s="158"/>
    <row r="58" ht="15.75" customHeight="1" s="158"/>
    <row r="59" ht="15.75" customHeight="1" s="158"/>
    <row r="60" ht="15.75" customHeight="1" s="158"/>
    <row r="61" ht="15.75" customHeight="1" s="158"/>
    <row r="62" ht="15.75" customHeight="1" s="158"/>
    <row r="63" ht="15.75" customHeight="1" s="158"/>
    <row r="64" ht="15.75" customHeight="1" s="158"/>
    <row r="65" ht="15.75" customHeight="1" s="158"/>
    <row r="66" ht="15.75" customHeight="1" s="158"/>
    <row r="67" ht="15.75" customHeight="1" s="158"/>
    <row r="68" ht="15.75" customHeight="1" s="158"/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0070C0"/>
    <outlinePr summaryBelow="0" summaryRight="0"/>
    <pageSetUpPr/>
  </sheetPr>
  <dimension ref="A1:O56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5" customWidth="1" style="158" min="2" max="2"/>
    <col width="12.38" customWidth="1" style="158" min="3" max="3"/>
    <col width="11.13" customWidth="1" style="158" min="4" max="15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Client)'!C3:C39,'[1]画面定義一覧　（From Client)'!B3:B39,"",0,1)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28" t="inlineStr">
        <is>
          <t>構成について問題ないか確認する</t>
        </is>
      </c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>
      <c r="J13" s="128" t="n"/>
    </row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/>
    <row r="28" ht="15.75" customHeight="1" s="158"/>
    <row r="29" ht="15.75" customHeight="1" s="158"/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4.25" customHeight="1" s="158"/>
    <row r="36" ht="15.75" customHeight="1" s="158">
      <c r="B36" s="101" t="inlineStr">
        <is>
          <t>項目一覧 （入力項目）</t>
        </is>
      </c>
      <c r="C36" s="108" t="n"/>
      <c r="D36" s="108" t="n"/>
      <c r="E36" s="108" t="n"/>
      <c r="F36" s="108" t="n"/>
      <c r="G36" s="105" t="n"/>
      <c r="H36" s="105" t="n"/>
      <c r="I36" s="105" t="n"/>
      <c r="J36" s="105" t="n"/>
      <c r="K36" s="105" t="n"/>
      <c r="L36" s="106" t="n"/>
    </row>
    <row r="37" ht="15.75" customHeight="1" s="158">
      <c r="B37" s="109" t="inlineStr">
        <is>
          <t>大項目</t>
        </is>
      </c>
      <c r="C37" s="109" t="n"/>
      <c r="D37" s="109" t="inlineStr">
        <is>
          <t>項目名</t>
        </is>
      </c>
      <c r="E37" s="109" t="inlineStr">
        <is>
          <t>型</t>
        </is>
      </c>
      <c r="F37" s="109" t="inlineStr">
        <is>
          <t>桁数/形式</t>
        </is>
      </c>
      <c r="G37" s="110" t="inlineStr">
        <is>
          <t>必須/任意</t>
        </is>
      </c>
      <c r="H37" s="110" t="inlineStr">
        <is>
          <t>備考</t>
        </is>
      </c>
      <c r="I37" s="111" t="n"/>
      <c r="J37" s="111" t="n"/>
      <c r="K37" s="111" t="n"/>
      <c r="L37" s="112" t="n"/>
    </row>
    <row r="38" ht="15.75" customHeight="1" s="158">
      <c r="B38" s="120" t="n"/>
      <c r="C38" s="20" t="n"/>
      <c r="D38" s="20" t="n"/>
      <c r="E38" s="120" t="n"/>
      <c r="F38" s="20" t="n"/>
      <c r="G38" s="120" t="n"/>
      <c r="H38" s="122" t="n"/>
      <c r="I38" s="114" t="n"/>
      <c r="J38" s="114" t="n"/>
      <c r="K38" s="114" t="n"/>
      <c r="L38" s="102" t="n"/>
    </row>
    <row r="39" ht="15.75" customHeight="1" s="158">
      <c r="B39" s="101" t="inlineStr">
        <is>
          <t>項目一覧  （表示情報)</t>
        </is>
      </c>
      <c r="C39" s="108" t="n"/>
      <c r="D39" s="108" t="n"/>
      <c r="E39" s="108" t="n"/>
      <c r="F39" s="108" t="n"/>
      <c r="G39" s="108" t="n"/>
      <c r="H39" s="105" t="n"/>
      <c r="I39" s="105" t="n"/>
      <c r="J39" s="105" t="n"/>
      <c r="K39" s="105" t="n"/>
      <c r="L39" s="106" t="n"/>
    </row>
    <row r="40" ht="15.75" customHeight="1" s="158">
      <c r="B40" s="131" t="inlineStr">
        <is>
          <t>大項目名</t>
        </is>
      </c>
      <c r="C40" s="116" t="inlineStr">
        <is>
          <t>小項目名</t>
        </is>
      </c>
      <c r="D40" s="110" t="inlineStr">
        <is>
          <t>内容</t>
        </is>
      </c>
      <c r="E40" s="111" t="n"/>
      <c r="F40" s="111" t="n"/>
      <c r="G40" s="112" t="n"/>
      <c r="H40" s="110" t="inlineStr">
        <is>
          <t>備考</t>
        </is>
      </c>
      <c r="I40" s="111" t="n"/>
      <c r="J40" s="111" t="n"/>
      <c r="K40" s="111" t="n"/>
      <c r="L40" s="112" t="n"/>
    </row>
    <row r="41" ht="15.75" customHeight="1" s="158">
      <c r="B41" s="120" t="inlineStr">
        <is>
          <t>ラベル</t>
        </is>
      </c>
      <c r="C41" s="113" t="n"/>
      <c r="D41" s="121" t="inlineStr">
        <is>
          <t>ラベル表示</t>
        </is>
      </c>
      <c r="E41" s="114" t="n"/>
      <c r="F41" s="114" t="n"/>
      <c r="G41" s="102" t="n"/>
      <c r="H41" s="122" t="n"/>
      <c r="I41" s="114" t="n"/>
      <c r="J41" s="114" t="n"/>
      <c r="K41" s="114" t="n"/>
      <c r="L41" s="102" t="n"/>
    </row>
    <row r="42" ht="15.75" customHeight="1" s="158">
      <c r="B42" s="123" t="inlineStr">
        <is>
          <t>内容</t>
        </is>
      </c>
      <c r="C42" s="113" t="n"/>
      <c r="D42" s="122" t="n"/>
      <c r="F42" s="114" t="n"/>
      <c r="G42" s="102" t="n"/>
      <c r="H42" s="122" t="n"/>
      <c r="I42" s="114" t="n"/>
      <c r="J42" s="114" t="n"/>
      <c r="K42" s="114" t="n"/>
      <c r="L42" s="102" t="n"/>
    </row>
    <row r="43" ht="15.75" customHeight="1" s="158">
      <c r="B43" s="120" t="n"/>
      <c r="C43" s="120" t="inlineStr">
        <is>
          <t>大項目</t>
        </is>
      </c>
      <c r="D43" s="122">
        <f>C43&amp;"を表示する"</f>
        <v/>
      </c>
      <c r="E43" s="114" t="n"/>
      <c r="F43" s="114" t="n"/>
      <c r="G43" s="102" t="n"/>
      <c r="H43" s="122" t="n"/>
      <c r="I43" s="114" t="n"/>
      <c r="J43" s="114" t="n"/>
      <c r="K43" s="114" t="n"/>
      <c r="L43" s="102" t="n"/>
    </row>
    <row r="44" ht="15.75" customHeight="1" s="158">
      <c r="B44" s="120" t="n"/>
      <c r="C44" s="120" t="inlineStr">
        <is>
          <t>中項目</t>
        </is>
      </c>
      <c r="D44" s="122">
        <f>C44&amp;"を表示する"</f>
        <v/>
      </c>
      <c r="E44" s="114" t="n"/>
      <c r="F44" s="114" t="n"/>
      <c r="G44" s="102" t="n"/>
      <c r="H44" s="122" t="n"/>
      <c r="I44" s="114" t="n"/>
      <c r="J44" s="114" t="n"/>
      <c r="K44" s="114" t="n"/>
      <c r="L44" s="102" t="n"/>
    </row>
    <row r="45" ht="15.75" customHeight="1" s="158">
      <c r="B45" s="120" t="n"/>
      <c r="C45" s="120" t="inlineStr">
        <is>
          <t>小項目</t>
        </is>
      </c>
      <c r="D45" s="122">
        <f>C45&amp;"を表示する"</f>
        <v/>
      </c>
      <c r="E45" s="114" t="n"/>
      <c r="F45" s="114" t="n"/>
      <c r="G45" s="102" t="n"/>
      <c r="H45" s="122" t="n"/>
      <c r="I45" s="114" t="n"/>
      <c r="J45" s="114" t="n"/>
      <c r="K45" s="114" t="n"/>
      <c r="L45" s="102" t="n"/>
    </row>
    <row r="46" ht="15.75" customHeight="1" s="158">
      <c r="B46" s="120" t="n"/>
      <c r="C46" s="120" t="inlineStr">
        <is>
          <t>内容詳細</t>
        </is>
      </c>
      <c r="D46" s="122">
        <f>C46&amp;"を表示する"</f>
        <v/>
      </c>
      <c r="E46" s="114" t="n"/>
      <c r="F46" s="114" t="n"/>
      <c r="G46" s="102" t="n"/>
      <c r="H46" s="122" t="n"/>
      <c r="I46" s="114" t="n"/>
      <c r="J46" s="114" t="n"/>
      <c r="K46" s="114" t="n"/>
      <c r="L46" s="102" t="n"/>
    </row>
    <row r="47" ht="16.5" customHeight="1" s="158">
      <c r="B47" s="120" t="inlineStr">
        <is>
          <t>トップへ戻る</t>
        </is>
      </c>
      <c r="C47" s="120" t="n"/>
      <c r="D47" s="121" t="n"/>
      <c r="E47" s="114" t="n"/>
      <c r="F47" s="114" t="n"/>
      <c r="G47" s="102" t="n"/>
      <c r="H47" s="122" t="n"/>
      <c r="I47" s="114" t="n"/>
      <c r="J47" s="114" t="n"/>
      <c r="K47" s="114" t="n"/>
      <c r="L47" s="102" t="n"/>
    </row>
    <row r="48" ht="15.75" customHeight="1" s="158">
      <c r="A48" s="40" t="n"/>
      <c r="B48" s="101" t="inlineStr">
        <is>
          <t>項目一覧  （出力項目)</t>
        </is>
      </c>
      <c r="C48" s="108" t="n"/>
      <c r="D48" s="108" t="n"/>
      <c r="E48" s="108" t="n"/>
      <c r="F48" s="108" t="n"/>
      <c r="G48" s="108" t="n"/>
      <c r="H48" s="105" t="n"/>
      <c r="I48" s="105" t="n"/>
      <c r="J48" s="105" t="n"/>
      <c r="K48" s="105" t="n"/>
      <c r="L48" s="106" t="n"/>
    </row>
    <row r="49" ht="15.75" customHeight="1" s="158">
      <c r="A49" s="40" t="n"/>
      <c r="B49" s="131" t="inlineStr">
        <is>
          <t>大項目名</t>
        </is>
      </c>
      <c r="C49" s="116" t="inlineStr">
        <is>
          <t>小項目名</t>
        </is>
      </c>
      <c r="D49" s="110" t="inlineStr">
        <is>
          <t>内容</t>
        </is>
      </c>
      <c r="E49" s="111" t="n"/>
      <c r="F49" s="111" t="n"/>
      <c r="G49" s="112" t="n"/>
      <c r="H49" s="110" t="inlineStr">
        <is>
          <t>備考</t>
        </is>
      </c>
      <c r="I49" s="111" t="n"/>
      <c r="J49" s="111" t="n"/>
      <c r="K49" s="111" t="n"/>
      <c r="L49" s="112" t="n"/>
    </row>
    <row r="50" ht="15.75" customHeight="1" s="158">
      <c r="A50" s="40" t="n"/>
      <c r="B50" s="120" t="n"/>
      <c r="C50" s="113" t="n"/>
      <c r="D50" s="122" t="n"/>
      <c r="E50" s="114" t="n"/>
      <c r="F50" s="114" t="n"/>
      <c r="G50" s="102" t="n"/>
      <c r="H50" s="113" t="n"/>
      <c r="I50" s="114" t="n"/>
      <c r="J50" s="114" t="n"/>
      <c r="K50" s="114" t="n"/>
      <c r="L50" s="102" t="n"/>
    </row>
    <row r="51" ht="15.75" customHeight="1" s="158">
      <c r="A51" s="40" t="n"/>
      <c r="B51" s="101" t="inlineStr">
        <is>
          <t>アクション仕様</t>
        </is>
      </c>
      <c r="C51" s="108" t="n"/>
      <c r="D51" s="108" t="n"/>
      <c r="E51" s="108" t="n"/>
      <c r="F51" s="108" t="n"/>
      <c r="G51" s="108" t="n"/>
      <c r="H51" s="105" t="n"/>
      <c r="I51" s="105" t="n"/>
      <c r="J51" s="105" t="n"/>
      <c r="K51" s="105" t="n"/>
      <c r="L51" s="106" t="n"/>
    </row>
    <row r="52" ht="15.75" customHeight="1" s="158">
      <c r="A52" s="40" t="n"/>
      <c r="B52" s="110" t="inlineStr">
        <is>
          <t>アクション</t>
        </is>
      </c>
      <c r="C52" s="111" t="n"/>
      <c r="D52" s="111" t="n"/>
      <c r="E52" s="111" t="n"/>
      <c r="F52" s="111" t="n"/>
      <c r="G52" s="110" t="inlineStr">
        <is>
          <t>備考</t>
        </is>
      </c>
      <c r="H52" s="111" t="n"/>
      <c r="I52" s="111" t="n"/>
      <c r="J52" s="111" t="n"/>
      <c r="K52" s="111" t="n"/>
      <c r="L52" s="112" t="n"/>
    </row>
    <row r="53" ht="15.75" customHeight="1" s="158">
      <c r="B53" s="122" t="n"/>
      <c r="C53" s="114" t="n"/>
      <c r="D53" s="114" t="n"/>
      <c r="E53" s="114" t="n"/>
      <c r="F53" s="102" t="n"/>
      <c r="G53" s="113" t="n"/>
      <c r="H53" s="114" t="n"/>
      <c r="I53" s="114" t="n"/>
      <c r="J53" s="114" t="n"/>
      <c r="K53" s="114" t="n"/>
      <c r="L53" s="102" t="n"/>
    </row>
    <row r="54" ht="15.75" customHeight="1" s="158">
      <c r="B54" s="101" t="inlineStr">
        <is>
          <t>出力仕様（エラーメッセージ）</t>
        </is>
      </c>
      <c r="C54" s="108" t="n"/>
      <c r="D54" s="108" t="n"/>
      <c r="E54" s="108" t="n"/>
      <c r="F54" s="108" t="n"/>
      <c r="G54" s="108" t="n"/>
      <c r="H54" s="105" t="n"/>
      <c r="I54" s="105" t="n"/>
      <c r="J54" s="105" t="n"/>
      <c r="K54" s="105" t="n"/>
      <c r="L54" s="106" t="n"/>
    </row>
    <row r="55" ht="15.75" customHeight="1" s="158">
      <c r="A55" s="40" t="n"/>
      <c r="B55" s="110" t="inlineStr">
        <is>
          <t>エラーメッセージ</t>
        </is>
      </c>
      <c r="C55" s="111" t="n"/>
      <c r="D55" s="111" t="n"/>
      <c r="E55" s="111" t="n"/>
      <c r="F55" s="111" t="n"/>
      <c r="G55" s="110" t="inlineStr">
        <is>
          <t>備考</t>
        </is>
      </c>
      <c r="H55" s="111" t="n"/>
      <c r="I55" s="111" t="n"/>
      <c r="J55" s="111" t="n"/>
      <c r="K55" s="111" t="n"/>
      <c r="L55" s="112" t="n"/>
    </row>
    <row r="56" ht="15.75" customHeight="1" s="158">
      <c r="A56" s="40" t="n"/>
      <c r="B56" s="122" t="n"/>
      <c r="C56" s="114" t="n"/>
      <c r="D56" s="114" t="n"/>
      <c r="E56" s="114" t="n"/>
      <c r="F56" s="102" t="n"/>
      <c r="G56" s="113" t="n"/>
      <c r="H56" s="114" t="n"/>
      <c r="I56" s="114" t="n"/>
      <c r="J56" s="114" t="n"/>
      <c r="K56" s="114" t="n"/>
      <c r="L56" s="102" t="n"/>
    </row>
    <row r="57" ht="15.75" customHeight="1" s="158"/>
    <row r="58" ht="15.75" customHeight="1" s="158"/>
    <row r="59" ht="15.75" customHeight="1" s="158"/>
    <row r="60" ht="15.75" customHeight="1" s="158"/>
    <row r="61" ht="15.75" customHeight="1" s="158"/>
    <row r="62" ht="15.75" customHeight="1" s="158"/>
    <row r="63" ht="15.75" customHeight="1" s="158"/>
    <row r="64" ht="15.75" customHeight="1" s="158"/>
    <row r="65" ht="15.75" customHeight="1" s="158"/>
    <row r="66" ht="15.75" customHeight="1" s="158"/>
    <row r="67" ht="15.75" customHeight="1" s="158"/>
    <row r="68" ht="15.75" customHeight="1" s="158"/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0070C0"/>
    <outlinePr summaryBelow="0" summaryRight="0"/>
    <pageSetUpPr/>
  </sheetPr>
  <dimension ref="A1:O56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5" customWidth="1" style="158" min="2" max="2"/>
    <col width="12.38" customWidth="1" style="158" min="3" max="3"/>
    <col width="11.13" customWidth="1" style="158" min="4" max="15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Client)'!C3:C39,'[1]画面定義一覧　（From Client)'!B3:B39,"",0,1)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28" t="inlineStr">
        <is>
          <t>構成について問題ないか確認する</t>
        </is>
      </c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>
      <c r="J13" s="128" t="n"/>
    </row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/>
    <row r="28" ht="15.75" customHeight="1" s="158"/>
    <row r="29" ht="15.75" customHeight="1" s="158"/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4.25" customHeight="1" s="158"/>
    <row r="36" ht="15.75" customHeight="1" s="158">
      <c r="B36" s="101" t="inlineStr">
        <is>
          <t>項目一覧 （入力項目）</t>
        </is>
      </c>
      <c r="C36" s="108" t="n"/>
      <c r="D36" s="108" t="n"/>
      <c r="E36" s="108" t="n"/>
      <c r="F36" s="108" t="n"/>
      <c r="G36" s="105" t="n"/>
      <c r="H36" s="105" t="n"/>
      <c r="I36" s="105" t="n"/>
      <c r="J36" s="105" t="n"/>
      <c r="K36" s="105" t="n"/>
      <c r="L36" s="106" t="n"/>
    </row>
    <row r="37" ht="15.75" customHeight="1" s="158">
      <c r="B37" s="109" t="inlineStr">
        <is>
          <t>大項目</t>
        </is>
      </c>
      <c r="C37" s="109" t="n"/>
      <c r="D37" s="109" t="inlineStr">
        <is>
          <t>項目名</t>
        </is>
      </c>
      <c r="E37" s="109" t="inlineStr">
        <is>
          <t>型</t>
        </is>
      </c>
      <c r="F37" s="109" t="inlineStr">
        <is>
          <t>桁数/形式</t>
        </is>
      </c>
      <c r="G37" s="110" t="inlineStr">
        <is>
          <t>必須/任意</t>
        </is>
      </c>
      <c r="H37" s="110" t="inlineStr">
        <is>
          <t>備考</t>
        </is>
      </c>
      <c r="I37" s="111" t="n"/>
      <c r="J37" s="111" t="n"/>
      <c r="K37" s="111" t="n"/>
      <c r="L37" s="112" t="n"/>
    </row>
    <row r="38" ht="15.75" customHeight="1" s="158">
      <c r="B38" s="120" t="n"/>
      <c r="C38" s="20" t="n"/>
      <c r="D38" s="20" t="n"/>
      <c r="E38" s="120" t="n"/>
      <c r="F38" s="20" t="n"/>
      <c r="G38" s="120" t="n"/>
      <c r="H38" s="122" t="n"/>
      <c r="I38" s="114" t="n"/>
      <c r="J38" s="114" t="n"/>
      <c r="K38" s="114" t="n"/>
      <c r="L38" s="102" t="n"/>
    </row>
    <row r="39" ht="15.75" customHeight="1" s="158">
      <c r="B39" s="101" t="inlineStr">
        <is>
          <t>項目一覧  （表示情報)</t>
        </is>
      </c>
      <c r="C39" s="108" t="n"/>
      <c r="D39" s="108" t="n"/>
      <c r="E39" s="108" t="n"/>
      <c r="F39" s="108" t="n"/>
      <c r="G39" s="108" t="n"/>
      <c r="H39" s="105" t="n"/>
      <c r="I39" s="105" t="n"/>
      <c r="J39" s="105" t="n"/>
      <c r="K39" s="105" t="n"/>
      <c r="L39" s="106" t="n"/>
    </row>
    <row r="40" ht="15.75" customHeight="1" s="158">
      <c r="B40" s="131" t="inlineStr">
        <is>
          <t>大項目名</t>
        </is>
      </c>
      <c r="C40" s="116" t="inlineStr">
        <is>
          <t>小項目名</t>
        </is>
      </c>
      <c r="D40" s="110" t="inlineStr">
        <is>
          <t>内容</t>
        </is>
      </c>
      <c r="E40" s="111" t="n"/>
      <c r="F40" s="111" t="n"/>
      <c r="G40" s="112" t="n"/>
      <c r="H40" s="110" t="inlineStr">
        <is>
          <t>備考</t>
        </is>
      </c>
      <c r="I40" s="111" t="n"/>
      <c r="J40" s="111" t="n"/>
      <c r="K40" s="111" t="n"/>
      <c r="L40" s="112" t="n"/>
    </row>
    <row r="41" ht="15.75" customHeight="1" s="158">
      <c r="B41" s="120" t="inlineStr">
        <is>
          <t>ラベル</t>
        </is>
      </c>
      <c r="C41" s="113" t="n"/>
      <c r="D41" s="121" t="inlineStr">
        <is>
          <t>ラベル表示</t>
        </is>
      </c>
      <c r="E41" s="114" t="n"/>
      <c r="F41" s="114" t="n"/>
      <c r="G41" s="102" t="n"/>
      <c r="H41" s="122" t="n"/>
      <c r="I41" s="114" t="n"/>
      <c r="J41" s="114" t="n"/>
      <c r="K41" s="114" t="n"/>
      <c r="L41" s="102" t="n"/>
    </row>
    <row r="42" ht="15.75" customHeight="1" s="158">
      <c r="B42" s="123" t="inlineStr">
        <is>
          <t>内容</t>
        </is>
      </c>
      <c r="C42" s="113" t="n"/>
      <c r="D42" s="122" t="n"/>
      <c r="F42" s="114" t="n"/>
      <c r="G42" s="102" t="n"/>
      <c r="H42" s="122" t="n"/>
      <c r="I42" s="114" t="n"/>
      <c r="J42" s="114" t="n"/>
      <c r="K42" s="114" t="n"/>
      <c r="L42" s="102" t="n"/>
    </row>
    <row r="43" ht="15.75" customHeight="1" s="158">
      <c r="B43" s="120" t="n"/>
      <c r="C43" s="120" t="inlineStr">
        <is>
          <t>大項目</t>
        </is>
      </c>
      <c r="D43" s="122">
        <f>C43&amp;"を表示する"</f>
        <v/>
      </c>
      <c r="E43" s="114" t="n"/>
      <c r="F43" s="114" t="n"/>
      <c r="G43" s="102" t="n"/>
      <c r="H43" s="122" t="n"/>
      <c r="I43" s="114" t="n"/>
      <c r="J43" s="114" t="n"/>
      <c r="K43" s="114" t="n"/>
      <c r="L43" s="102" t="n"/>
    </row>
    <row r="44" ht="15.75" customHeight="1" s="158">
      <c r="B44" s="120" t="n"/>
      <c r="C44" s="120" t="inlineStr">
        <is>
          <t>中項目</t>
        </is>
      </c>
      <c r="D44" s="122">
        <f>C44&amp;"を表示する"</f>
        <v/>
      </c>
      <c r="E44" s="114" t="n"/>
      <c r="F44" s="114" t="n"/>
      <c r="G44" s="102" t="n"/>
      <c r="H44" s="122" t="n"/>
      <c r="I44" s="114" t="n"/>
      <c r="J44" s="114" t="n"/>
      <c r="K44" s="114" t="n"/>
      <c r="L44" s="102" t="n"/>
    </row>
    <row r="45" ht="15.75" customHeight="1" s="158">
      <c r="B45" s="120" t="n"/>
      <c r="C45" s="120" t="inlineStr">
        <is>
          <t>小項目</t>
        </is>
      </c>
      <c r="D45" s="122">
        <f>C45&amp;"を表示する"</f>
        <v/>
      </c>
      <c r="E45" s="114" t="n"/>
      <c r="F45" s="114" t="n"/>
      <c r="G45" s="102" t="n"/>
      <c r="H45" s="122" t="n"/>
      <c r="I45" s="114" t="n"/>
      <c r="J45" s="114" t="n"/>
      <c r="K45" s="114" t="n"/>
      <c r="L45" s="102" t="n"/>
    </row>
    <row r="46" ht="15.75" customHeight="1" s="158">
      <c r="B46" s="120" t="n"/>
      <c r="C46" s="120" t="inlineStr">
        <is>
          <t>内容詳細</t>
        </is>
      </c>
      <c r="D46" s="122">
        <f>C46&amp;"を表示する"</f>
        <v/>
      </c>
      <c r="E46" s="114" t="n"/>
      <c r="F46" s="114" t="n"/>
      <c r="G46" s="102" t="n"/>
      <c r="H46" s="122" t="n"/>
      <c r="I46" s="114" t="n"/>
      <c r="J46" s="114" t="n"/>
      <c r="K46" s="114" t="n"/>
      <c r="L46" s="102" t="n"/>
    </row>
    <row r="47" ht="16.5" customHeight="1" s="158">
      <c r="B47" s="120" t="inlineStr">
        <is>
          <t>トップへ戻る</t>
        </is>
      </c>
      <c r="C47" s="120" t="n"/>
      <c r="D47" s="121" t="n"/>
      <c r="E47" s="114" t="n"/>
      <c r="F47" s="114" t="n"/>
      <c r="G47" s="102" t="n"/>
      <c r="H47" s="122" t="n"/>
      <c r="I47" s="114" t="n"/>
      <c r="J47" s="114" t="n"/>
      <c r="K47" s="114" t="n"/>
      <c r="L47" s="102" t="n"/>
    </row>
    <row r="48" ht="15.75" customHeight="1" s="158">
      <c r="A48" s="40" t="n"/>
      <c r="B48" s="101" t="inlineStr">
        <is>
          <t>項目一覧  （出力項目)</t>
        </is>
      </c>
      <c r="C48" s="108" t="n"/>
      <c r="D48" s="108" t="n"/>
      <c r="E48" s="108" t="n"/>
      <c r="F48" s="108" t="n"/>
      <c r="G48" s="108" t="n"/>
      <c r="H48" s="105" t="n"/>
      <c r="I48" s="105" t="n"/>
      <c r="J48" s="105" t="n"/>
      <c r="K48" s="105" t="n"/>
      <c r="L48" s="106" t="n"/>
    </row>
    <row r="49" ht="15.75" customHeight="1" s="158">
      <c r="A49" s="40" t="n"/>
      <c r="B49" s="131" t="inlineStr">
        <is>
          <t>大項目名</t>
        </is>
      </c>
      <c r="C49" s="116" t="inlineStr">
        <is>
          <t>小項目名</t>
        </is>
      </c>
      <c r="D49" s="110" t="inlineStr">
        <is>
          <t>内容</t>
        </is>
      </c>
      <c r="E49" s="111" t="n"/>
      <c r="F49" s="111" t="n"/>
      <c r="G49" s="112" t="n"/>
      <c r="H49" s="110" t="inlineStr">
        <is>
          <t>備考</t>
        </is>
      </c>
      <c r="I49" s="111" t="n"/>
      <c r="J49" s="111" t="n"/>
      <c r="K49" s="111" t="n"/>
      <c r="L49" s="112" t="n"/>
    </row>
    <row r="50" ht="15.75" customHeight="1" s="158">
      <c r="A50" s="40" t="n"/>
      <c r="B50" s="120" t="n"/>
      <c r="C50" s="113" t="n"/>
      <c r="D50" s="122" t="n"/>
      <c r="E50" s="114" t="n"/>
      <c r="F50" s="114" t="n"/>
      <c r="G50" s="102" t="n"/>
      <c r="H50" s="113" t="n"/>
      <c r="I50" s="114" t="n"/>
      <c r="J50" s="114" t="n"/>
      <c r="K50" s="114" t="n"/>
      <c r="L50" s="102" t="n"/>
    </row>
    <row r="51" ht="15.75" customHeight="1" s="158">
      <c r="A51" s="40" t="n"/>
      <c r="B51" s="101" t="inlineStr">
        <is>
          <t>アクション仕様</t>
        </is>
      </c>
      <c r="C51" s="108" t="n"/>
      <c r="D51" s="108" t="n"/>
      <c r="E51" s="108" t="n"/>
      <c r="F51" s="108" t="n"/>
      <c r="G51" s="108" t="n"/>
      <c r="H51" s="105" t="n"/>
      <c r="I51" s="105" t="n"/>
      <c r="J51" s="105" t="n"/>
      <c r="K51" s="105" t="n"/>
      <c r="L51" s="106" t="n"/>
    </row>
    <row r="52" ht="15.75" customHeight="1" s="158">
      <c r="A52" s="40" t="n"/>
      <c r="B52" s="110" t="inlineStr">
        <is>
          <t>アクション</t>
        </is>
      </c>
      <c r="C52" s="111" t="n"/>
      <c r="D52" s="111" t="n"/>
      <c r="E52" s="111" t="n"/>
      <c r="F52" s="111" t="n"/>
      <c r="G52" s="110" t="inlineStr">
        <is>
          <t>備考</t>
        </is>
      </c>
      <c r="H52" s="111" t="n"/>
      <c r="I52" s="111" t="n"/>
      <c r="J52" s="111" t="n"/>
      <c r="K52" s="111" t="n"/>
      <c r="L52" s="112" t="n"/>
    </row>
    <row r="53" ht="15.75" customHeight="1" s="158">
      <c r="B53" s="122" t="n"/>
      <c r="C53" s="114" t="n"/>
      <c r="D53" s="114" t="n"/>
      <c r="E53" s="114" t="n"/>
      <c r="F53" s="102" t="n"/>
      <c r="G53" s="113" t="n"/>
      <c r="H53" s="114" t="n"/>
      <c r="I53" s="114" t="n"/>
      <c r="J53" s="114" t="n"/>
      <c r="K53" s="114" t="n"/>
      <c r="L53" s="102" t="n"/>
    </row>
    <row r="54" ht="15.75" customHeight="1" s="158">
      <c r="B54" s="101" t="inlineStr">
        <is>
          <t>出力仕様（エラーメッセージ）</t>
        </is>
      </c>
      <c r="C54" s="108" t="n"/>
      <c r="D54" s="108" t="n"/>
      <c r="E54" s="108" t="n"/>
      <c r="F54" s="108" t="n"/>
      <c r="G54" s="108" t="n"/>
      <c r="H54" s="105" t="n"/>
      <c r="I54" s="105" t="n"/>
      <c r="J54" s="105" t="n"/>
      <c r="K54" s="105" t="n"/>
      <c r="L54" s="106" t="n"/>
    </row>
    <row r="55" ht="15.75" customHeight="1" s="158">
      <c r="A55" s="40" t="n"/>
      <c r="B55" s="110" t="inlineStr">
        <is>
          <t>エラーメッセージ</t>
        </is>
      </c>
      <c r="C55" s="111" t="n"/>
      <c r="D55" s="111" t="n"/>
      <c r="E55" s="111" t="n"/>
      <c r="F55" s="111" t="n"/>
      <c r="G55" s="110" t="inlineStr">
        <is>
          <t>備考</t>
        </is>
      </c>
      <c r="H55" s="111" t="n"/>
      <c r="I55" s="111" t="n"/>
      <c r="J55" s="111" t="n"/>
      <c r="K55" s="111" t="n"/>
      <c r="L55" s="112" t="n"/>
    </row>
    <row r="56" ht="15.75" customHeight="1" s="158">
      <c r="A56" s="40" t="n"/>
      <c r="B56" s="122" t="n"/>
      <c r="C56" s="114" t="n"/>
      <c r="D56" s="114" t="n"/>
      <c r="E56" s="114" t="n"/>
      <c r="F56" s="102" t="n"/>
      <c r="G56" s="113" t="n"/>
      <c r="H56" s="114" t="n"/>
      <c r="I56" s="114" t="n"/>
      <c r="J56" s="114" t="n"/>
      <c r="K56" s="114" t="n"/>
      <c r="L56" s="102" t="n"/>
    </row>
    <row r="57" ht="15.75" customHeight="1" s="158"/>
    <row r="58" ht="15.75" customHeight="1" s="158"/>
    <row r="59" ht="15.75" customHeight="1" s="158"/>
    <row r="60" ht="15.75" customHeight="1" s="158"/>
    <row r="61" ht="15.75" customHeight="1" s="158"/>
    <row r="62" ht="15.75" customHeight="1" s="158"/>
    <row r="63" ht="15.75" customHeight="1" s="158"/>
    <row r="64" ht="15.75" customHeight="1" s="158"/>
    <row r="65" ht="15.75" customHeight="1" s="158"/>
    <row r="66" ht="15.75" customHeight="1" s="158"/>
    <row r="67" ht="15.75" customHeight="1" s="158"/>
    <row r="68" ht="15.75" customHeight="1" s="158"/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0070C0"/>
    <outlinePr summaryBelow="0" summaryRight="0"/>
    <pageSetUpPr/>
  </sheetPr>
  <dimension ref="A1:O50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5" customWidth="1" style="158" min="2" max="2"/>
    <col width="12.38" customWidth="1" style="158" min="3" max="3"/>
    <col width="11.13" customWidth="1" style="158" min="4" max="15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Client)'!C3:C39,'[1]画面定義一覧　（From Client)'!B3:B39,"",0,1)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28" t="inlineStr">
        <is>
          <t>なし</t>
        </is>
      </c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>
      <c r="J13" s="128" t="n"/>
    </row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/>
    <row r="28" ht="15.75" customHeight="1" s="158"/>
    <row r="30" ht="15.75" customHeight="1" s="158">
      <c r="B30" s="101" t="inlineStr">
        <is>
          <t>項目一覧 （入力項目）</t>
        </is>
      </c>
      <c r="C30" s="108" t="n"/>
      <c r="D30" s="108" t="n"/>
      <c r="E30" s="108" t="n"/>
      <c r="F30" s="108" t="n"/>
      <c r="G30" s="105" t="n"/>
      <c r="H30" s="105" t="n"/>
      <c r="I30" s="105" t="n"/>
      <c r="J30" s="105" t="n"/>
      <c r="K30" s="105" t="n"/>
      <c r="L30" s="106" t="n"/>
    </row>
    <row r="31" ht="15.75" customHeight="1" s="158">
      <c r="B31" s="109" t="inlineStr">
        <is>
          <t>大項目</t>
        </is>
      </c>
      <c r="C31" s="109" t="n"/>
      <c r="D31" s="109" t="inlineStr">
        <is>
          <t>項目名</t>
        </is>
      </c>
      <c r="E31" s="109" t="inlineStr">
        <is>
          <t>型</t>
        </is>
      </c>
      <c r="F31" s="109" t="inlineStr">
        <is>
          <t>桁数/形式</t>
        </is>
      </c>
      <c r="G31" s="110" t="inlineStr">
        <is>
          <t>必須/任意</t>
        </is>
      </c>
      <c r="H31" s="110" t="inlineStr">
        <is>
          <t>備考</t>
        </is>
      </c>
      <c r="I31" s="111" t="n"/>
      <c r="J31" s="111" t="n"/>
      <c r="K31" s="111" t="n"/>
      <c r="L31" s="112" t="n"/>
    </row>
    <row r="32" ht="15.75" customHeight="1" s="158">
      <c r="B32" s="120" t="n"/>
      <c r="C32" s="20" t="n"/>
      <c r="D32" s="20" t="n"/>
      <c r="E32" s="120" t="n"/>
      <c r="F32" s="20" t="n"/>
      <c r="G32" s="120" t="n"/>
      <c r="H32" s="122" t="n"/>
      <c r="I32" s="114" t="n"/>
      <c r="J32" s="114" t="n"/>
      <c r="K32" s="114" t="n"/>
      <c r="L32" s="102" t="n"/>
    </row>
    <row r="33" ht="15.75" customHeight="1" s="158">
      <c r="B33" s="101" t="inlineStr">
        <is>
          <t>項目一覧  （表示情報)</t>
        </is>
      </c>
      <c r="C33" s="108" t="n"/>
      <c r="D33" s="108" t="n"/>
      <c r="E33" s="108" t="n"/>
      <c r="F33" s="108" t="n"/>
      <c r="G33" s="108" t="n"/>
      <c r="H33" s="105" t="n"/>
      <c r="I33" s="105" t="n"/>
      <c r="J33" s="105" t="n"/>
      <c r="K33" s="105" t="n"/>
      <c r="L33" s="106" t="n"/>
    </row>
    <row r="34" ht="15.75" customHeight="1" s="158">
      <c r="B34" s="131" t="inlineStr">
        <is>
          <t>大項目名</t>
        </is>
      </c>
      <c r="C34" s="116" t="inlineStr">
        <is>
          <t>小項目名</t>
        </is>
      </c>
      <c r="D34" s="110" t="inlineStr">
        <is>
          <t>内容</t>
        </is>
      </c>
      <c r="E34" s="111" t="n"/>
      <c r="F34" s="111" t="n"/>
      <c r="G34" s="112" t="n"/>
      <c r="H34" s="110" t="inlineStr">
        <is>
          <t>備考</t>
        </is>
      </c>
      <c r="I34" s="111" t="n"/>
      <c r="J34" s="111" t="n"/>
      <c r="K34" s="111" t="n"/>
      <c r="L34" s="112" t="n"/>
    </row>
    <row r="35" ht="15.75" customHeight="1" s="158">
      <c r="B35" s="120" t="inlineStr">
        <is>
          <t>ラベル</t>
        </is>
      </c>
      <c r="C35" s="113" t="n"/>
      <c r="D35" s="122">
        <f>B35&amp;"を表示する"</f>
        <v/>
      </c>
      <c r="E35" s="114" t="n"/>
      <c r="F35" s="114" t="n"/>
      <c r="G35" s="102" t="n"/>
      <c r="H35" s="122" t="n"/>
      <c r="I35" s="114" t="n"/>
      <c r="J35" s="114" t="n"/>
      <c r="K35" s="114" t="n"/>
      <c r="L35" s="102" t="n"/>
    </row>
    <row r="36" ht="15.75" customHeight="1" s="158">
      <c r="B36" s="123" t="inlineStr">
        <is>
          <t>理由</t>
        </is>
      </c>
      <c r="C36" s="113" t="n"/>
      <c r="D36" s="122">
        <f>B36&amp;"を表示する"</f>
        <v/>
      </c>
      <c r="F36" s="114" t="n"/>
      <c r="G36" s="102" t="n"/>
      <c r="H36" s="122" t="n"/>
      <c r="I36" s="114" t="n"/>
      <c r="J36" s="114" t="n"/>
      <c r="K36" s="114" t="n"/>
      <c r="L36" s="102" t="n"/>
    </row>
    <row r="37" ht="15.75" customHeight="1" s="158">
      <c r="B37" s="120" t="inlineStr">
        <is>
          <t>理由の選択欄</t>
        </is>
      </c>
      <c r="C37" s="120" t="n"/>
      <c r="D37" s="122">
        <f>B37&amp;"を表示する"</f>
        <v/>
      </c>
      <c r="E37" s="114" t="n"/>
      <c r="F37" s="114" t="n"/>
      <c r="G37" s="102" t="n"/>
      <c r="H37" s="122" t="n"/>
      <c r="I37" s="114" t="n"/>
      <c r="J37" s="114" t="n"/>
      <c r="K37" s="114" t="n"/>
      <c r="L37" s="102" t="n"/>
    </row>
    <row r="38" ht="15.75" customHeight="1" s="158">
      <c r="B38" s="120" t="inlineStr">
        <is>
          <t>詳細</t>
        </is>
      </c>
      <c r="C38" s="120" t="n"/>
      <c r="D38" s="122">
        <f>B38&amp;"を表示する"</f>
        <v/>
      </c>
      <c r="E38" s="114" t="n"/>
      <c r="F38" s="114" t="n"/>
      <c r="G38" s="102" t="n"/>
      <c r="H38" s="122" t="n"/>
      <c r="I38" s="114" t="n"/>
      <c r="J38" s="114" t="n"/>
      <c r="K38" s="114" t="n"/>
      <c r="L38" s="102" t="n"/>
    </row>
    <row r="39" ht="15.75" customHeight="1" s="158">
      <c r="B39" s="120" t="inlineStr">
        <is>
          <t>詳細入力欄</t>
        </is>
      </c>
      <c r="C39" s="120" t="n"/>
      <c r="D39" s="122">
        <f>B39&amp;"を表示する"</f>
        <v/>
      </c>
      <c r="E39" s="114" t="n"/>
      <c r="F39" s="114" t="n"/>
      <c r="G39" s="102" t="n"/>
      <c r="H39" s="122" t="n"/>
      <c r="I39" s="114" t="n"/>
      <c r="J39" s="114" t="n"/>
      <c r="K39" s="114" t="n"/>
      <c r="L39" s="102" t="n"/>
    </row>
    <row r="40" ht="15.75" customHeight="1" s="158">
      <c r="B40" s="120" t="inlineStr">
        <is>
          <t>キャンセルボタン</t>
        </is>
      </c>
      <c r="C40" s="120" t="n"/>
      <c r="D40" s="122">
        <f>B40&amp;"を表示する"</f>
        <v/>
      </c>
      <c r="E40" s="114" t="n"/>
      <c r="F40" s="114" t="n"/>
      <c r="G40" s="102" t="n"/>
      <c r="H40" s="122" t="n"/>
      <c r="I40" s="114" t="n"/>
      <c r="J40" s="114" t="n"/>
      <c r="K40" s="114" t="n"/>
      <c r="L40" s="102" t="n"/>
    </row>
    <row r="41" ht="15.75" customHeight="1" s="158">
      <c r="B41" s="120" t="inlineStr">
        <is>
          <t>問題を報告するボタン</t>
        </is>
      </c>
      <c r="C41" s="120" t="n"/>
      <c r="D41" s="122">
        <f>B41&amp;"を表示する"</f>
        <v/>
      </c>
      <c r="E41" s="114" t="n"/>
      <c r="F41" s="114" t="n"/>
      <c r="G41" s="102" t="n"/>
      <c r="H41" s="122" t="n"/>
      <c r="I41" s="114" t="n"/>
      <c r="J41" s="114" t="n"/>
      <c r="K41" s="114" t="n"/>
      <c r="L41" s="102" t="n"/>
    </row>
    <row r="42" ht="15.75" customHeight="1" s="158">
      <c r="A42" s="40" t="n"/>
      <c r="B42" s="101" t="inlineStr">
        <is>
          <t>項目一覧  （出力項目)</t>
        </is>
      </c>
      <c r="C42" s="108" t="n"/>
      <c r="D42" s="108" t="n"/>
      <c r="E42" s="108" t="n"/>
      <c r="F42" s="108" t="n"/>
      <c r="G42" s="108" t="n"/>
      <c r="H42" s="105" t="n"/>
      <c r="I42" s="105" t="n"/>
      <c r="J42" s="105" t="n"/>
      <c r="K42" s="105" t="n"/>
      <c r="L42" s="106" t="n"/>
    </row>
    <row r="43" ht="15.75" customHeight="1" s="158">
      <c r="A43" s="40" t="n"/>
      <c r="B43" s="131" t="inlineStr">
        <is>
          <t>大項目名</t>
        </is>
      </c>
      <c r="C43" s="116" t="inlineStr">
        <is>
          <t>小項目名</t>
        </is>
      </c>
      <c r="D43" s="110" t="inlineStr">
        <is>
          <t>内容</t>
        </is>
      </c>
      <c r="E43" s="111" t="n"/>
      <c r="F43" s="111" t="n"/>
      <c r="G43" s="112" t="n"/>
      <c r="H43" s="110" t="inlineStr">
        <is>
          <t>備考</t>
        </is>
      </c>
      <c r="I43" s="111" t="n"/>
      <c r="J43" s="111" t="n"/>
      <c r="K43" s="111" t="n"/>
      <c r="L43" s="112" t="n"/>
    </row>
    <row r="44" ht="15.75" customHeight="1" s="158">
      <c r="A44" s="40" t="n"/>
      <c r="B44" s="120" t="n"/>
      <c r="C44" s="113" t="n"/>
      <c r="D44" s="122" t="n"/>
      <c r="E44" s="114" t="n"/>
      <c r="F44" s="114" t="n"/>
      <c r="G44" s="102" t="n"/>
      <c r="H44" s="113" t="n"/>
      <c r="I44" s="114" t="n"/>
      <c r="J44" s="114" t="n"/>
      <c r="K44" s="114" t="n"/>
      <c r="L44" s="102" t="n"/>
    </row>
    <row r="45" ht="15.75" customHeight="1" s="158">
      <c r="A45" s="40" t="n"/>
      <c r="B45" s="101" t="inlineStr">
        <is>
          <t>アクション仕様</t>
        </is>
      </c>
      <c r="C45" s="108" t="n"/>
      <c r="D45" s="108" t="n"/>
      <c r="E45" s="108" t="n"/>
      <c r="F45" s="108" t="n"/>
      <c r="G45" s="108" t="n"/>
      <c r="H45" s="105" t="n"/>
      <c r="I45" s="105" t="n"/>
      <c r="J45" s="105" t="n"/>
      <c r="K45" s="105" t="n"/>
      <c r="L45" s="106" t="n"/>
    </row>
    <row r="46" ht="15.75" customHeight="1" s="158">
      <c r="A46" s="40" t="n"/>
      <c r="B46" s="110" t="inlineStr">
        <is>
          <t>アクション</t>
        </is>
      </c>
      <c r="C46" s="111" t="n"/>
      <c r="D46" s="111" t="n"/>
      <c r="E46" s="111" t="n"/>
      <c r="F46" s="111" t="n"/>
      <c r="G46" s="110" t="inlineStr">
        <is>
          <t>備考</t>
        </is>
      </c>
      <c r="H46" s="111" t="n"/>
      <c r="I46" s="111" t="n"/>
      <c r="J46" s="111" t="n"/>
      <c r="K46" s="111" t="n"/>
      <c r="L46" s="112" t="n"/>
    </row>
    <row r="47" ht="15.75" customHeight="1" s="158">
      <c r="B47" s="122" t="n"/>
      <c r="C47" s="114" t="n"/>
      <c r="D47" s="114" t="n"/>
      <c r="E47" s="114" t="n"/>
      <c r="F47" s="102" t="n"/>
      <c r="G47" s="113" t="n"/>
      <c r="H47" s="114" t="n"/>
      <c r="I47" s="114" t="n"/>
      <c r="J47" s="114" t="n"/>
      <c r="K47" s="114" t="n"/>
      <c r="L47" s="102" t="n"/>
    </row>
    <row r="48" ht="15.75" customHeight="1" s="158">
      <c r="B48" s="101" t="inlineStr">
        <is>
          <t>出力仕様（エラーメッセージ）</t>
        </is>
      </c>
      <c r="C48" s="108" t="n"/>
      <c r="D48" s="108" t="n"/>
      <c r="E48" s="108" t="n"/>
      <c r="F48" s="108" t="n"/>
      <c r="G48" s="108" t="n"/>
      <c r="H48" s="105" t="n"/>
      <c r="I48" s="105" t="n"/>
      <c r="J48" s="105" t="n"/>
      <c r="K48" s="105" t="n"/>
      <c r="L48" s="106" t="n"/>
    </row>
    <row r="49" ht="15.75" customHeight="1" s="158">
      <c r="A49" s="40" t="n"/>
      <c r="B49" s="110" t="inlineStr">
        <is>
          <t>エラーメッセージ</t>
        </is>
      </c>
      <c r="C49" s="111" t="n"/>
      <c r="D49" s="111" t="n"/>
      <c r="E49" s="111" t="n"/>
      <c r="F49" s="111" t="n"/>
      <c r="G49" s="110" t="inlineStr">
        <is>
          <t>備考</t>
        </is>
      </c>
      <c r="H49" s="111" t="n"/>
      <c r="I49" s="111" t="n"/>
      <c r="J49" s="111" t="n"/>
      <c r="K49" s="111" t="n"/>
      <c r="L49" s="112" t="n"/>
    </row>
    <row r="50" ht="15.75" customHeight="1" s="158">
      <c r="A50" s="40" t="n"/>
      <c r="B50" s="122" t="n"/>
      <c r="C50" s="114" t="n"/>
      <c r="D50" s="114" t="n"/>
      <c r="E50" s="114" t="n"/>
      <c r="F50" s="102" t="n"/>
      <c r="G50" s="113" t="n"/>
      <c r="H50" s="114" t="n"/>
      <c r="I50" s="114" t="n"/>
      <c r="J50" s="114" t="n"/>
      <c r="K50" s="114" t="n"/>
      <c r="L50" s="102" t="n"/>
    </row>
    <row r="51" ht="15.75" customHeight="1" s="158"/>
    <row r="52" ht="15.75" customHeight="1" s="158"/>
    <row r="53" ht="15.75" customHeight="1" s="158"/>
    <row r="54" ht="15.75" customHeight="1" s="158"/>
    <row r="55" ht="15.75" customHeight="1" s="158"/>
    <row r="56" ht="15.75" customHeight="1" s="158"/>
    <row r="57" ht="15.75" customHeight="1" s="158"/>
    <row r="58" ht="15.75" customHeight="1" s="158"/>
    <row r="59" ht="15.75" customHeight="1" s="158"/>
    <row r="60" ht="15.75" customHeight="1" s="158"/>
    <row r="61" ht="15.75" customHeight="1" s="158"/>
    <row r="62" ht="15.75" customHeight="1" s="158"/>
    <row r="63" ht="15.75" customHeight="1" s="158"/>
    <row r="64" ht="15.75" customHeight="1" s="158"/>
    <row r="65" ht="15.75" customHeight="1" s="158"/>
    <row r="66" ht="15.75" customHeight="1" s="158"/>
    <row r="67" ht="15.75" customHeight="1" s="158"/>
    <row r="68" ht="15.75" customHeight="1" s="158"/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0070C0"/>
    <outlinePr summaryBelow="0" summaryRight="0"/>
    <pageSetUpPr/>
  </sheetPr>
  <dimension ref="A1:O56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5" customWidth="1" style="158" min="2" max="2"/>
    <col width="12.38" customWidth="1" style="158" min="3" max="3"/>
    <col width="11.13" customWidth="1" style="158" min="4" max="15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XLOOKUP($E$2,'[1]画面定義一覧　（From Client)'!$C$3:$C$98,'[1]画面定義一覧　（From Client)'!$B$3:$B$98,"",0,1)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99" t="inlineStr">
        <is>
          <t>作品等の三点リーダーからの選択で表示される画面</t>
        </is>
      </c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28" t="inlineStr">
        <is>
          <t>なし</t>
        </is>
      </c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>
      <c r="J13" s="128" t="n"/>
    </row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/>
    <row r="28" ht="15.75" customHeight="1" s="158"/>
    <row r="29" ht="15.75" customHeight="1" s="158"/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5.75" customHeight="1" s="158">
      <c r="B35" s="101" t="inlineStr">
        <is>
          <t>項目一覧 （入力項目）</t>
        </is>
      </c>
      <c r="C35" s="108" t="n"/>
      <c r="D35" s="108" t="n"/>
      <c r="E35" s="108" t="n"/>
      <c r="F35" s="108" t="n"/>
      <c r="G35" s="105" t="n"/>
      <c r="H35" s="105" t="n"/>
      <c r="I35" s="105" t="n"/>
      <c r="J35" s="105" t="n"/>
      <c r="K35" s="105" t="n"/>
      <c r="L35" s="106" t="n"/>
    </row>
    <row r="36" ht="15.75" customHeight="1" s="158">
      <c r="B36" s="109" t="inlineStr">
        <is>
          <t>大項目</t>
        </is>
      </c>
      <c r="C36" s="109" t="n"/>
      <c r="D36" s="109" t="inlineStr">
        <is>
          <t>項目名</t>
        </is>
      </c>
      <c r="E36" s="109" t="inlineStr">
        <is>
          <t>型</t>
        </is>
      </c>
      <c r="F36" s="109" t="inlineStr">
        <is>
          <t>桁数/形式</t>
        </is>
      </c>
      <c r="G36" s="110" t="inlineStr">
        <is>
          <t>必須/任意</t>
        </is>
      </c>
      <c r="H36" s="110" t="inlineStr">
        <is>
          <t>備考</t>
        </is>
      </c>
      <c r="I36" s="111" t="n"/>
      <c r="J36" s="111" t="n"/>
      <c r="K36" s="111" t="n"/>
      <c r="L36" s="112" t="n"/>
    </row>
    <row r="37" ht="15.75" customHeight="1" s="158">
      <c r="B37" s="120" t="n"/>
      <c r="C37" s="20" t="n"/>
      <c r="D37" s="20" t="n"/>
      <c r="E37" s="120" t="n"/>
      <c r="F37" s="20" t="n"/>
      <c r="G37" s="120" t="n"/>
      <c r="H37" s="122" t="n"/>
      <c r="I37" s="114" t="n"/>
      <c r="J37" s="114" t="n"/>
      <c r="K37" s="114" t="n"/>
      <c r="L37" s="102" t="n"/>
    </row>
    <row r="38" ht="15.75" customHeight="1" s="158">
      <c r="B38" s="101" t="inlineStr">
        <is>
          <t>項目一覧  （表示情報)</t>
        </is>
      </c>
      <c r="C38" s="108" t="n"/>
      <c r="D38" s="108" t="n"/>
      <c r="E38" s="108" t="n"/>
      <c r="F38" s="108" t="n"/>
      <c r="G38" s="108" t="n"/>
      <c r="H38" s="105" t="n"/>
      <c r="I38" s="105" t="n"/>
      <c r="J38" s="105" t="n"/>
      <c r="K38" s="105" t="n"/>
      <c r="L38" s="106" t="n"/>
    </row>
    <row r="39" ht="15.75" customHeight="1" s="158">
      <c r="B39" s="131" t="inlineStr">
        <is>
          <t>大項目名</t>
        </is>
      </c>
      <c r="C39" s="116" t="inlineStr">
        <is>
          <t>小項目名</t>
        </is>
      </c>
      <c r="D39" s="110" t="inlineStr">
        <is>
          <t>内容</t>
        </is>
      </c>
      <c r="E39" s="111" t="n"/>
      <c r="F39" s="111" t="n"/>
      <c r="G39" s="112" t="n"/>
      <c r="H39" s="110" t="inlineStr">
        <is>
          <t>備考</t>
        </is>
      </c>
      <c r="I39" s="111" t="n"/>
      <c r="J39" s="111" t="n"/>
      <c r="K39" s="111" t="n"/>
      <c r="L39" s="112" t="n"/>
    </row>
    <row r="40" ht="15.75" customHeight="1" s="158">
      <c r="B40" s="120" t="inlineStr">
        <is>
          <t>ラベル</t>
        </is>
      </c>
      <c r="C40" s="113" t="n"/>
      <c r="D40" s="122">
        <f>B40&amp;"を表示する"</f>
        <v/>
      </c>
      <c r="E40" s="114" t="n"/>
      <c r="F40" s="114" t="n"/>
      <c r="G40" s="102" t="n"/>
      <c r="H40" s="122" t="n"/>
      <c r="I40" s="114" t="n"/>
      <c r="J40" s="114" t="n"/>
      <c r="K40" s="114" t="n"/>
      <c r="L40" s="102" t="n"/>
    </row>
    <row r="41" ht="15.75" customHeight="1" s="158">
      <c r="B41" s="123" t="inlineStr">
        <is>
          <t>報告理由</t>
        </is>
      </c>
      <c r="C41" s="113" t="n"/>
      <c r="D41" s="122" t="n"/>
      <c r="F41" s="114" t="n"/>
      <c r="G41" s="102" t="n"/>
      <c r="H41" s="122" t="n"/>
      <c r="I41" s="114" t="n"/>
      <c r="J41" s="114" t="n"/>
      <c r="K41" s="114" t="n"/>
      <c r="L41" s="102" t="n"/>
    </row>
    <row r="42" ht="15.75" customHeight="1" s="158">
      <c r="B42" s="120" t="n"/>
      <c r="C42" s="120" t="inlineStr">
        <is>
          <t>ラベル</t>
        </is>
      </c>
      <c r="D42" s="122">
        <f>C42&amp;"を表示する"</f>
        <v/>
      </c>
      <c r="E42" s="114" t="n"/>
      <c r="F42" s="114" t="n"/>
      <c r="G42" s="102" t="n"/>
      <c r="H42" s="122" t="n"/>
      <c r="I42" s="114" t="n"/>
      <c r="J42" s="114" t="n"/>
      <c r="K42" s="114" t="n"/>
      <c r="L42" s="102" t="n"/>
    </row>
    <row r="43" ht="15.75" customHeight="1" s="158">
      <c r="B43" s="120" t="n"/>
      <c r="C43" s="120" t="inlineStr">
        <is>
          <t>ラジオボタン</t>
        </is>
      </c>
      <c r="D43" s="122">
        <f>C43&amp;"を表示する"</f>
        <v/>
      </c>
      <c r="E43" s="114" t="n"/>
      <c r="F43" s="114" t="n"/>
      <c r="G43" s="102" t="n"/>
      <c r="H43" s="122" t="n"/>
      <c r="I43" s="114" t="n"/>
      <c r="J43" s="114" t="n"/>
      <c r="K43" s="114" t="n"/>
      <c r="L43" s="102" t="n"/>
    </row>
    <row r="44" ht="15.75" customHeight="1" s="158">
      <c r="B44" s="120" t="n"/>
      <c r="C44" s="120" t="inlineStr">
        <is>
          <t>報告項目</t>
        </is>
      </c>
      <c r="D44" s="122">
        <f>C44&amp;"を表示する"</f>
        <v/>
      </c>
      <c r="E44" s="114" t="n"/>
      <c r="F44" s="114" t="n"/>
      <c r="G44" s="102" t="n"/>
      <c r="H44" s="122" t="n"/>
      <c r="I44" s="114" t="n"/>
      <c r="J44" s="114" t="n"/>
      <c r="K44" s="114" t="n"/>
      <c r="L44" s="102" t="n"/>
    </row>
    <row r="45" ht="15.75" customHeight="1" s="158">
      <c r="B45" s="120" t="n"/>
      <c r="C45" s="120" t="inlineStr">
        <is>
          <t>その他の報告理由入力欄</t>
        </is>
      </c>
      <c r="D45" s="122">
        <f>C45&amp;"を表示する"</f>
        <v/>
      </c>
      <c r="E45" s="114" t="n"/>
      <c r="F45" s="114" t="n"/>
      <c r="G45" s="102" t="n"/>
      <c r="H45" s="122" t="n"/>
      <c r="I45" s="114" t="n"/>
      <c r="J45" s="114" t="n"/>
      <c r="K45" s="114" t="n"/>
      <c r="L45" s="102" t="n"/>
    </row>
    <row r="46" ht="15.75" customHeight="1" s="158">
      <c r="B46" s="120" t="inlineStr">
        <is>
          <t>報告するボタン</t>
        </is>
      </c>
      <c r="C46" s="120" t="n"/>
      <c r="D46" s="122">
        <f>B46&amp;"を表示する"</f>
        <v/>
      </c>
      <c r="E46" s="114" t="n"/>
      <c r="F46" s="114" t="n"/>
      <c r="G46" s="102" t="n"/>
      <c r="H46" s="122" t="n"/>
      <c r="I46" s="114" t="n"/>
      <c r="J46" s="114" t="n"/>
      <c r="K46" s="114" t="n"/>
      <c r="L46" s="102" t="n"/>
    </row>
    <row r="47" ht="16.5" customHeight="1" s="158">
      <c r="B47" s="120" t="inlineStr">
        <is>
          <t>キャンセルボタン</t>
        </is>
      </c>
      <c r="C47" s="120" t="n"/>
      <c r="D47" s="122">
        <f>B47&amp;"を表示する"</f>
        <v/>
      </c>
      <c r="E47" s="114" t="n"/>
      <c r="F47" s="114" t="n"/>
      <c r="G47" s="102" t="n"/>
      <c r="H47" s="122" t="n"/>
      <c r="I47" s="114" t="n"/>
      <c r="J47" s="114" t="n"/>
      <c r="K47" s="114" t="n"/>
      <c r="L47" s="102" t="n"/>
    </row>
    <row r="48" ht="15.75" customHeight="1" s="158">
      <c r="A48" s="40" t="n"/>
      <c r="B48" s="101" t="inlineStr">
        <is>
          <t>項目一覧  （出力項目)</t>
        </is>
      </c>
      <c r="C48" s="108" t="n"/>
      <c r="D48" s="108" t="n"/>
      <c r="E48" s="108" t="n"/>
      <c r="F48" s="108" t="n"/>
      <c r="G48" s="108" t="n"/>
      <c r="H48" s="105" t="n"/>
      <c r="I48" s="105" t="n"/>
      <c r="J48" s="105" t="n"/>
      <c r="K48" s="105" t="n"/>
      <c r="L48" s="106" t="n"/>
    </row>
    <row r="49" ht="15.75" customHeight="1" s="158">
      <c r="A49" s="40" t="n"/>
      <c r="B49" s="131" t="inlineStr">
        <is>
          <t>大項目名</t>
        </is>
      </c>
      <c r="C49" s="116" t="inlineStr">
        <is>
          <t>小項目名</t>
        </is>
      </c>
      <c r="D49" s="110" t="inlineStr">
        <is>
          <t>内容</t>
        </is>
      </c>
      <c r="E49" s="111" t="n"/>
      <c r="F49" s="111" t="n"/>
      <c r="G49" s="112" t="n"/>
      <c r="H49" s="110" t="inlineStr">
        <is>
          <t>備考</t>
        </is>
      </c>
      <c r="I49" s="111" t="n"/>
      <c r="J49" s="111" t="n"/>
      <c r="K49" s="111" t="n"/>
      <c r="L49" s="112" t="n"/>
    </row>
    <row r="50" ht="15.75" customHeight="1" s="158">
      <c r="A50" s="40" t="n"/>
      <c r="B50" s="120" t="n"/>
      <c r="C50" s="113" t="n"/>
      <c r="D50" s="122" t="n"/>
      <c r="E50" s="114" t="n"/>
      <c r="F50" s="114" t="n"/>
      <c r="G50" s="102" t="n"/>
      <c r="H50" s="113" t="n"/>
      <c r="I50" s="114" t="n"/>
      <c r="J50" s="114" t="n"/>
      <c r="K50" s="114" t="n"/>
      <c r="L50" s="102" t="n"/>
    </row>
    <row r="51" ht="15.75" customHeight="1" s="158">
      <c r="A51" s="40" t="n"/>
      <c r="B51" s="101" t="inlineStr">
        <is>
          <t>アクション仕様</t>
        </is>
      </c>
      <c r="C51" s="108" t="n"/>
      <c r="D51" s="108" t="n"/>
      <c r="E51" s="108" t="n"/>
      <c r="F51" s="108" t="n"/>
      <c r="G51" s="108" t="n"/>
      <c r="H51" s="105" t="n"/>
      <c r="I51" s="105" t="n"/>
      <c r="J51" s="105" t="n"/>
      <c r="K51" s="105" t="n"/>
      <c r="L51" s="106" t="n"/>
    </row>
    <row r="52" ht="15.75" customHeight="1" s="158">
      <c r="A52" s="40" t="n"/>
      <c r="B52" s="110" t="inlineStr">
        <is>
          <t>アクション</t>
        </is>
      </c>
      <c r="C52" s="111" t="n"/>
      <c r="D52" s="111" t="n"/>
      <c r="E52" s="111" t="n"/>
      <c r="F52" s="111" t="n"/>
      <c r="G52" s="110" t="inlineStr">
        <is>
          <t>備考</t>
        </is>
      </c>
      <c r="H52" s="111" t="n"/>
      <c r="I52" s="111" t="n"/>
      <c r="J52" s="111" t="n"/>
      <c r="K52" s="111" t="n"/>
      <c r="L52" s="112" t="n"/>
    </row>
    <row r="53" ht="15.75" customHeight="1" s="158">
      <c r="B53" s="122" t="n"/>
      <c r="C53" s="114" t="n"/>
      <c r="D53" s="114" t="n"/>
      <c r="E53" s="114" t="n"/>
      <c r="F53" s="102" t="n"/>
      <c r="G53" s="113" t="n"/>
      <c r="H53" s="114" t="n"/>
      <c r="I53" s="114" t="n"/>
      <c r="J53" s="114" t="n"/>
      <c r="K53" s="114" t="n"/>
      <c r="L53" s="102" t="n"/>
    </row>
    <row r="54" ht="15.75" customHeight="1" s="158">
      <c r="B54" s="101" t="inlineStr">
        <is>
          <t>出力仕様（エラーメッセージ）</t>
        </is>
      </c>
      <c r="C54" s="108" t="n"/>
      <c r="D54" s="108" t="n"/>
      <c r="E54" s="108" t="n"/>
      <c r="F54" s="108" t="n"/>
      <c r="G54" s="108" t="n"/>
      <c r="H54" s="105" t="n"/>
      <c r="I54" s="105" t="n"/>
      <c r="J54" s="105" t="n"/>
      <c r="K54" s="105" t="n"/>
      <c r="L54" s="106" t="n"/>
    </row>
    <row r="55" ht="15.75" customHeight="1" s="158">
      <c r="A55" s="40" t="n"/>
      <c r="B55" s="110" t="inlineStr">
        <is>
          <t>エラーメッセージ</t>
        </is>
      </c>
      <c r="C55" s="111" t="n"/>
      <c r="D55" s="111" t="n"/>
      <c r="E55" s="111" t="n"/>
      <c r="F55" s="111" t="n"/>
      <c r="G55" s="110" t="inlineStr">
        <is>
          <t>備考</t>
        </is>
      </c>
      <c r="H55" s="111" t="n"/>
      <c r="I55" s="111" t="n"/>
      <c r="J55" s="111" t="n"/>
      <c r="K55" s="111" t="n"/>
      <c r="L55" s="112" t="n"/>
    </row>
    <row r="56" ht="15.75" customHeight="1" s="158">
      <c r="A56" s="40" t="n"/>
      <c r="B56" s="122" t="n"/>
      <c r="C56" s="114" t="n"/>
      <c r="D56" s="114" t="n"/>
      <c r="E56" s="114" t="n"/>
      <c r="F56" s="102" t="n"/>
      <c r="G56" s="113" t="n"/>
      <c r="H56" s="114" t="n"/>
      <c r="I56" s="114" t="n"/>
      <c r="J56" s="114" t="n"/>
      <c r="K56" s="114" t="n"/>
      <c r="L56" s="102" t="n"/>
    </row>
    <row r="57" ht="15.75" customHeight="1" s="158"/>
    <row r="58" ht="15.75" customHeight="1" s="158"/>
    <row r="59" ht="15.75" customHeight="1" s="158"/>
    <row r="60" ht="15.75" customHeight="1" s="158"/>
    <row r="61" ht="15.75" customHeight="1" s="158"/>
    <row r="62" ht="15.75" customHeight="1" s="158"/>
    <row r="63" ht="15.75" customHeight="1" s="158"/>
    <row r="64" ht="15.75" customHeight="1" s="158"/>
    <row r="65" ht="15.75" customHeight="1" s="158"/>
    <row r="66" ht="15.75" customHeight="1" s="158"/>
    <row r="67" ht="15.75" customHeight="1" s="158"/>
    <row r="68" ht="15.75" customHeight="1" s="158"/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0070C0"/>
    <outlinePr summaryBelow="0" summaryRight="0"/>
    <pageSetUpPr/>
  </sheetPr>
  <dimension ref="A1:O91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5" customWidth="1" style="158" min="2" max="2"/>
    <col width="12.38" customWidth="1" style="158" min="3" max="3"/>
    <col width="11.13" customWidth="1" style="158" min="4" max="15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XLOOKUP($E$2,'[1]画面定義一覧　（From Client)'!$C$3:$C$98,'[1]画面定義一覧　（From Client)'!$B$3:$B$98,"",0,1)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99" t="inlineStr">
        <is>
          <t>フッター、もしくは作品・ポートフォリオ・ユーザーから遷移する画面</t>
        </is>
      </c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28" t="inlineStr">
        <is>
          <t>フッターからの遷移の場合、不正なユーザー・コンテンツに紐づかない報告も可能性としてあり得てしまう。その場合報告履歴について、コンテンツタイプ・コンテンツの表示内容がない状態になるため、あるべきを確認する。ユーザー情報・作品情報・ポートフォリオ情報の三点リーダーからの導線のみとして、フッターからは削除すべき。その場合は報告内容は不要になり、モーダルで済む想定（報告対象を特定するための項目のため）</t>
        </is>
      </c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>
      <c r="J13" s="128" t="n"/>
    </row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>
      <c r="K19" s="128" t="inlineStr">
        <is>
          <t>ログイン済みの場合はユーザー名が自動入力される</t>
        </is>
      </c>
    </row>
    <row r="20" ht="15.75" customHeight="1" s="158"/>
    <row r="21" ht="15.75" customHeight="1" s="158"/>
    <row r="22" ht="15.75" customHeight="1" s="158">
      <c r="K22" s="128" t="n"/>
    </row>
    <row r="23" ht="15.75" customHeight="1" s="158">
      <c r="K23" s="40" t="inlineStr">
        <is>
          <t>ログイン済みの場合はメールアドレスが自動入力される</t>
        </is>
      </c>
    </row>
    <row r="24" ht="15.75" customHeight="1" s="158"/>
    <row r="25" ht="15.75" customHeight="1" s="158"/>
    <row r="26" ht="15.75" customHeight="1" s="158"/>
    <row r="27" ht="15.75" customHeight="1" s="158">
      <c r="K27" s="128" t="n"/>
    </row>
    <row r="28" ht="15.75" customHeight="1" s="158">
      <c r="K28" s="128" t="n"/>
    </row>
    <row r="29" ht="15.75" customHeight="1" s="158">
      <c r="K29" s="128" t="n"/>
    </row>
    <row r="30" ht="15.75" customHeight="1" s="158">
      <c r="K30" s="128" t="n"/>
    </row>
    <row r="31" ht="15.75" customHeight="1" s="158">
      <c r="K31" s="128" t="n"/>
    </row>
    <row r="32" ht="15.75" customHeight="1" s="158">
      <c r="K32" s="128" t="n"/>
    </row>
    <row r="33" ht="15.75" customHeight="1" s="158">
      <c r="K33" s="128" t="n"/>
    </row>
    <row r="34" ht="15.75" customHeight="1" s="158">
      <c r="K34" s="128" t="n"/>
    </row>
    <row r="35" ht="15.75" customHeight="1" s="158">
      <c r="K35" s="128" t="n"/>
    </row>
    <row r="36" ht="15.75" customHeight="1" s="158">
      <c r="K36" s="128" t="n"/>
    </row>
    <row r="37" ht="15.75" customHeight="1" s="158">
      <c r="K37" s="128" t="n"/>
    </row>
    <row r="38" ht="15.75" customHeight="1" s="158">
      <c r="K38" s="128" t="n"/>
    </row>
    <row r="39" ht="15.75" customHeight="1" s="158">
      <c r="K39" s="128" t="n"/>
    </row>
    <row r="40" ht="15.75" customHeight="1" s="158">
      <c r="K40" s="128" t="n"/>
    </row>
    <row r="41" ht="15.75" customHeight="1" s="158">
      <c r="K41" s="128" t="n"/>
    </row>
    <row r="42" ht="15.75" customHeight="1" s="158">
      <c r="K42" s="128" t="n"/>
    </row>
    <row r="43" ht="15.75" customHeight="1" s="158">
      <c r="K43" s="128" t="n"/>
    </row>
    <row r="44" ht="15.75" customHeight="1" s="158">
      <c r="K44" s="128" t="n"/>
    </row>
    <row r="45" ht="15.75" customHeight="1" s="158"/>
    <row r="46" ht="15.75" customHeight="1" s="158"/>
    <row r="47" ht="15.75" customHeight="1" s="158"/>
    <row r="48" ht="15.75" customHeight="1" s="158"/>
    <row r="49" ht="15.75" customHeight="1" s="158"/>
    <row r="50" ht="15.75" customHeight="1" s="158"/>
    <row r="51" ht="15.75" customHeight="1" s="158"/>
    <row r="52" ht="15.75" customHeight="1" s="158"/>
    <row r="53" ht="15.75" customHeight="1" s="158"/>
    <row r="54" ht="15.75" customHeight="1" s="158"/>
    <row r="55" ht="15.75" customHeight="1" s="158"/>
    <row r="56" ht="15.75" customHeight="1" s="158"/>
    <row r="57" ht="15.75" customHeight="1" s="158"/>
    <row r="58" ht="15.75" customHeight="1" s="158"/>
    <row r="59" ht="15.75" customHeight="1" s="158"/>
    <row r="61" ht="15.75" customHeight="1" s="158">
      <c r="B61" s="101" t="inlineStr">
        <is>
          <t>項目一覧 （入力項目）</t>
        </is>
      </c>
      <c r="C61" s="108" t="n"/>
      <c r="D61" s="108" t="n"/>
      <c r="E61" s="108" t="n"/>
      <c r="F61" s="108" t="n"/>
      <c r="G61" s="105" t="n"/>
      <c r="H61" s="105" t="n"/>
      <c r="I61" s="105" t="n"/>
      <c r="J61" s="105" t="n"/>
      <c r="K61" s="105" t="n"/>
      <c r="L61" s="106" t="n"/>
    </row>
    <row r="62" ht="15.75" customHeight="1" s="158">
      <c r="B62" s="109" t="inlineStr">
        <is>
          <t>大項目</t>
        </is>
      </c>
      <c r="C62" s="109" t="n"/>
      <c r="D62" s="109" t="inlineStr">
        <is>
          <t>項目名</t>
        </is>
      </c>
      <c r="E62" s="109" t="inlineStr">
        <is>
          <t>型</t>
        </is>
      </c>
      <c r="F62" s="109" t="inlineStr">
        <is>
          <t>桁数/形式</t>
        </is>
      </c>
      <c r="G62" s="110" t="inlineStr">
        <is>
          <t>必須/任意</t>
        </is>
      </c>
      <c r="H62" s="110" t="inlineStr">
        <is>
          <t>備考</t>
        </is>
      </c>
      <c r="I62" s="111" t="n"/>
      <c r="J62" s="111" t="n"/>
      <c r="K62" s="111" t="n"/>
      <c r="L62" s="112" t="n"/>
    </row>
    <row r="63" ht="15.75" customHeight="1" s="158">
      <c r="B63" s="120" t="n"/>
      <c r="C63" s="20" t="n"/>
      <c r="D63" s="20" t="n"/>
      <c r="E63" s="120" t="n"/>
      <c r="F63" s="20" t="n"/>
      <c r="G63" s="120" t="n"/>
      <c r="H63" s="122" t="n"/>
      <c r="I63" s="114" t="n"/>
      <c r="J63" s="114" t="n"/>
      <c r="K63" s="114" t="n"/>
      <c r="L63" s="102" t="n"/>
    </row>
    <row r="64" ht="15.75" customHeight="1" s="158">
      <c r="B64" s="101" t="inlineStr">
        <is>
          <t>項目一覧  （表示情報)</t>
        </is>
      </c>
      <c r="C64" s="108" t="n"/>
      <c r="D64" s="108" t="n"/>
      <c r="E64" s="108" t="n"/>
      <c r="F64" s="108" t="n"/>
      <c r="G64" s="108" t="n"/>
      <c r="H64" s="105" t="n"/>
      <c r="I64" s="105" t="n"/>
      <c r="J64" s="105" t="n"/>
      <c r="K64" s="105" t="n"/>
      <c r="L64" s="106" t="n"/>
    </row>
    <row r="65" ht="15.75" customHeight="1" s="158">
      <c r="B65" s="131" t="inlineStr">
        <is>
          <t>大項目名</t>
        </is>
      </c>
      <c r="C65" s="116" t="inlineStr">
        <is>
          <t>小項目名</t>
        </is>
      </c>
      <c r="D65" s="110" t="inlineStr">
        <is>
          <t>内容</t>
        </is>
      </c>
      <c r="E65" s="111" t="n"/>
      <c r="F65" s="111" t="n"/>
      <c r="G65" s="112" t="n"/>
      <c r="H65" s="110" t="inlineStr">
        <is>
          <t>備考</t>
        </is>
      </c>
      <c r="I65" s="111" t="n"/>
      <c r="J65" s="111" t="n"/>
      <c r="K65" s="111" t="n"/>
      <c r="L65" s="112" t="n"/>
    </row>
    <row r="66" ht="15.75" customHeight="1" s="158">
      <c r="B66" s="120" t="inlineStr">
        <is>
          <t>ラベル</t>
        </is>
      </c>
      <c r="C66" s="113" t="n"/>
      <c r="D66" s="121" t="inlineStr">
        <is>
          <t>ラベル表示</t>
        </is>
      </c>
      <c r="E66" s="114" t="n"/>
      <c r="F66" s="114" t="n"/>
      <c r="G66" s="102" t="n"/>
      <c r="H66" s="122" t="n"/>
      <c r="I66" s="114" t="n"/>
      <c r="J66" s="114" t="n"/>
      <c r="K66" s="114" t="n"/>
      <c r="L66" s="102" t="n"/>
    </row>
    <row r="67" ht="15.75" customHeight="1" s="158">
      <c r="B67" s="123" t="inlineStr">
        <is>
          <t>説明</t>
        </is>
      </c>
      <c r="C67" s="113" t="n"/>
      <c r="D67" s="122" t="n"/>
      <c r="F67" s="114" t="n"/>
      <c r="G67" s="102" t="n"/>
      <c r="H67" s="122" t="n"/>
      <c r="I67" s="114" t="n"/>
      <c r="J67" s="114" t="n"/>
      <c r="K67" s="114" t="n"/>
      <c r="L67" s="102" t="n"/>
    </row>
    <row r="68" ht="15.75" customHeight="1" s="158">
      <c r="B68" s="120" t="inlineStr">
        <is>
          <t>お名前</t>
        </is>
      </c>
      <c r="C68" s="120" t="n"/>
      <c r="D68" s="122">
        <f>B68&amp;"を表示する"</f>
        <v/>
      </c>
      <c r="E68" s="114" t="n"/>
      <c r="F68" s="114" t="n"/>
      <c r="G68" s="102" t="n"/>
      <c r="H68" s="122" t="n"/>
      <c r="I68" s="114" t="n"/>
      <c r="J68" s="114" t="n"/>
      <c r="K68" s="114" t="n"/>
      <c r="L68" s="102" t="n"/>
    </row>
    <row r="69" ht="15.75" customHeight="1" s="158">
      <c r="B69" s="120" t="inlineStr">
        <is>
          <t>お名前入力欄</t>
        </is>
      </c>
      <c r="C69" s="120" t="n"/>
      <c r="D69" s="122">
        <f>B69&amp;"を表示する"</f>
        <v/>
      </c>
      <c r="E69" s="114" t="n"/>
      <c r="F69" s="114" t="n"/>
      <c r="G69" s="102" t="n"/>
      <c r="H69" s="122" t="inlineStr">
        <is>
          <t>ログイン済みの場合はユーザー名が自動入力される</t>
        </is>
      </c>
      <c r="I69" s="114" t="n"/>
      <c r="J69" s="114" t="n"/>
      <c r="K69" s="114" t="n"/>
      <c r="L69" s="102" t="n"/>
    </row>
    <row r="70" ht="15.75" customHeight="1" s="158">
      <c r="B70" s="120" t="inlineStr">
        <is>
          <t>メールアドレス</t>
        </is>
      </c>
      <c r="C70" s="120" t="n"/>
      <c r="D70" s="122">
        <f>B70&amp;"を表示する"</f>
        <v/>
      </c>
      <c r="E70" s="114" t="n"/>
      <c r="F70" s="114" t="n"/>
      <c r="G70" s="102" t="n"/>
      <c r="H70" s="122" t="n"/>
      <c r="I70" s="114" t="n"/>
      <c r="J70" s="114" t="n"/>
      <c r="K70" s="114" t="n"/>
      <c r="L70" s="102" t="n"/>
    </row>
    <row r="71" ht="15.75" customHeight="1" s="158">
      <c r="B71" s="120" t="inlineStr">
        <is>
          <t>メールアドレス入力欄</t>
        </is>
      </c>
      <c r="C71" s="120" t="n"/>
      <c r="D71" s="122">
        <f>B71&amp;"を表示する"</f>
        <v/>
      </c>
      <c r="E71" s="114" t="n"/>
      <c r="F71" s="114" t="n"/>
      <c r="G71" s="102" t="n"/>
      <c r="H71" s="122" t="inlineStr">
        <is>
          <t>ログイン済みの場合はメールアドレスが自動入力される</t>
        </is>
      </c>
      <c r="I71" s="114" t="n"/>
      <c r="J71" s="114" t="n"/>
      <c r="K71" s="114" t="n"/>
      <c r="L71" s="102" t="n"/>
    </row>
    <row r="72" ht="15.75" customHeight="1" s="158">
      <c r="B72" s="120" t="inlineStr">
        <is>
          <t>報告理由</t>
        </is>
      </c>
      <c r="C72" s="120" t="n"/>
      <c r="D72" s="122">
        <f>B72&amp;"を表示する"</f>
        <v/>
      </c>
      <c r="E72" s="114" t="n"/>
      <c r="F72" s="114" t="n"/>
      <c r="G72" s="102" t="n"/>
      <c r="H72" s="122" t="n"/>
      <c r="I72" s="114" t="n"/>
      <c r="J72" s="114" t="n"/>
      <c r="K72" s="114" t="n"/>
      <c r="L72" s="102" t="n"/>
    </row>
    <row r="73" ht="15.75" customHeight="1" s="158">
      <c r="B73" s="120" t="n"/>
      <c r="C73" s="120" t="inlineStr">
        <is>
          <t>ラジオボタン</t>
        </is>
      </c>
      <c r="D73" s="122" t="inlineStr">
        <is>
          <t>ラジオボタン</t>
        </is>
      </c>
      <c r="E73" s="114" t="n"/>
      <c r="F73" s="114" t="n"/>
      <c r="G73" s="102" t="n"/>
      <c r="H73" s="122" t="n"/>
      <c r="I73" s="114" t="n"/>
      <c r="J73" s="114" t="n"/>
      <c r="K73" s="114" t="n"/>
      <c r="L73" s="102" t="n"/>
    </row>
    <row r="74" ht="15.75" customHeight="1" s="158">
      <c r="B74" s="120" t="n"/>
      <c r="C74" s="120" t="inlineStr">
        <is>
          <t>その他入力欄</t>
        </is>
      </c>
      <c r="D74" s="122" t="n"/>
      <c r="E74" s="114" t="n"/>
      <c r="F74" s="114" t="n"/>
      <c r="G74" s="102" t="n"/>
      <c r="H74" s="122" t="inlineStr">
        <is>
          <t>ラジオボタンで詳細を選択した場合は入力必須</t>
        </is>
      </c>
      <c r="I74" s="114" t="n"/>
      <c r="J74" s="114" t="n"/>
      <c r="K74" s="114" t="n"/>
      <c r="L74" s="102" t="n"/>
    </row>
    <row r="75" ht="15.75" customHeight="1" s="158">
      <c r="B75" s="120" t="inlineStr">
        <is>
          <t>報告内容</t>
        </is>
      </c>
      <c r="C75" s="120" t="n"/>
      <c r="D75" s="122">
        <f>B75&amp;"を表示する"</f>
        <v/>
      </c>
      <c r="E75" s="114" t="n"/>
      <c r="F75" s="114" t="n"/>
      <c r="G75" s="102" t="n"/>
      <c r="H75" s="122" t="n"/>
      <c r="I75" s="114" t="n"/>
      <c r="J75" s="114" t="n"/>
      <c r="K75" s="114" t="n"/>
      <c r="L75" s="102" t="n"/>
    </row>
    <row r="76" ht="15.75" customHeight="1" s="158">
      <c r="B76" s="120" t="inlineStr">
        <is>
          <t>報告内容入力欄</t>
        </is>
      </c>
      <c r="C76" s="120" t="n"/>
      <c r="D76" s="122">
        <f>B76&amp;"を表示する"</f>
        <v/>
      </c>
      <c r="E76" s="114" t="n"/>
      <c r="F76" s="114" t="n"/>
      <c r="G76" s="102" t="n"/>
      <c r="H76" s="122" t="n"/>
      <c r="I76" s="114" t="n"/>
      <c r="J76" s="114" t="n"/>
      <c r="K76" s="114" t="n"/>
      <c r="L76" s="102" t="n"/>
    </row>
    <row r="77" ht="15.75" customHeight="1" s="158">
      <c r="B77" s="120" t="inlineStr">
        <is>
          <t>同意文</t>
        </is>
      </c>
      <c r="C77" s="120" t="n"/>
      <c r="D77" s="122" t="inlineStr">
        <is>
          <t>プライバシーポリシー（リンク）に同意する旨のテキストを表示する</t>
        </is>
      </c>
      <c r="E77" s="114" t="n"/>
      <c r="F77" s="114" t="n"/>
      <c r="G77" s="102" t="n"/>
      <c r="H77" s="122" t="n"/>
      <c r="I77" s="114" t="n"/>
      <c r="J77" s="114" t="n"/>
      <c r="K77" s="114" t="n"/>
      <c r="L77" s="102" t="n"/>
    </row>
    <row r="78" ht="15.75" customHeight="1" s="158">
      <c r="B78" s="120" t="inlineStr">
        <is>
          <t>チェックボックス</t>
        </is>
      </c>
      <c r="C78" s="120" t="n"/>
      <c r="D78" s="122">
        <f>B78&amp;"を表示する"</f>
        <v/>
      </c>
      <c r="E78" s="114" t="n"/>
      <c r="F78" s="114" t="n"/>
      <c r="G78" s="102" t="n"/>
      <c r="H78" s="122" t="n"/>
      <c r="I78" s="114" t="n"/>
      <c r="J78" s="114" t="n"/>
      <c r="K78" s="114" t="n"/>
      <c r="L78" s="102" t="n"/>
    </row>
    <row r="79" ht="15.75" customHeight="1" s="158">
      <c r="B79" s="120" t="inlineStr">
        <is>
          <t>同意するラベル</t>
        </is>
      </c>
      <c r="C79" s="120" t="n"/>
      <c r="D79" s="122">
        <f>B79&amp;"を表示する"</f>
        <v/>
      </c>
      <c r="E79" s="114" t="n"/>
      <c r="F79" s="114" t="n"/>
      <c r="G79" s="102" t="n"/>
      <c r="H79" s="122" t="n"/>
      <c r="I79" s="114" t="n"/>
      <c r="J79" s="114" t="n"/>
      <c r="K79" s="114" t="n"/>
      <c r="L79" s="102" t="n"/>
    </row>
    <row r="80" ht="15.75" customHeight="1" s="158">
      <c r="B80" s="120" t="inlineStr">
        <is>
          <t>キャンセルボタン</t>
        </is>
      </c>
      <c r="C80" s="120" t="n"/>
      <c r="D80" s="122">
        <f>B80&amp;"を表示する"</f>
        <v/>
      </c>
      <c r="E80" s="114" t="n"/>
      <c r="F80" s="114" t="n"/>
      <c r="G80" s="102" t="n"/>
      <c r="H80" s="122" t="n"/>
      <c r="I80" s="114" t="n"/>
      <c r="J80" s="114" t="n"/>
      <c r="K80" s="114" t="n"/>
      <c r="L80" s="102" t="n"/>
    </row>
    <row r="81" ht="15.75" customHeight="1" s="158">
      <c r="B81" s="120" t="inlineStr">
        <is>
          <t>送信ボタン</t>
        </is>
      </c>
      <c r="C81" s="120" t="n"/>
      <c r="D81" s="122">
        <f>B81&amp;"を表示する"</f>
        <v/>
      </c>
      <c r="E81" s="114" t="n"/>
      <c r="F81" s="114" t="n"/>
      <c r="G81" s="102" t="n"/>
      <c r="H81" s="122" t="inlineStr">
        <is>
          <t>チェックボックスを選択していない場合は非活性となる</t>
        </is>
      </c>
      <c r="I81" s="114" t="n"/>
      <c r="J81" s="114" t="n"/>
      <c r="K81" s="114" t="n"/>
      <c r="L81" s="102" t="n"/>
    </row>
    <row r="82" ht="15.75" customHeight="1" s="158">
      <c r="B82" s="120" t="inlineStr">
        <is>
          <t>注意事項</t>
        </is>
      </c>
      <c r="C82" s="120" t="n"/>
      <c r="D82" s="122">
        <f>B82&amp;"（テキスト）を表示する"</f>
        <v/>
      </c>
      <c r="E82" s="114" t="n"/>
      <c r="F82" s="114" t="n"/>
      <c r="G82" s="102" t="n"/>
      <c r="H82" s="122" t="inlineStr">
        <is>
          <t>チェックボックスを選択していない場合は非活性となる</t>
        </is>
      </c>
      <c r="I82" s="114" t="n"/>
      <c r="J82" s="114" t="n"/>
      <c r="K82" s="114" t="n"/>
      <c r="L82" s="102" t="n"/>
    </row>
    <row r="83" ht="15.75" customHeight="1" s="158">
      <c r="A83" s="40" t="n"/>
      <c r="B83" s="101" t="inlineStr">
        <is>
          <t>項目一覧  （出力項目)</t>
        </is>
      </c>
      <c r="C83" s="108" t="n"/>
      <c r="D83" s="108" t="n"/>
      <c r="E83" s="108" t="n"/>
      <c r="F83" s="108" t="n"/>
      <c r="G83" s="108" t="n"/>
      <c r="H83" s="105" t="n"/>
      <c r="I83" s="105" t="n"/>
      <c r="J83" s="105" t="n"/>
      <c r="K83" s="105" t="n"/>
      <c r="L83" s="106" t="n"/>
    </row>
    <row r="84" ht="15.75" customHeight="1" s="158">
      <c r="A84" s="40" t="n"/>
      <c r="B84" s="131" t="inlineStr">
        <is>
          <t>大項目名</t>
        </is>
      </c>
      <c r="C84" s="116" t="inlineStr">
        <is>
          <t>小項目名</t>
        </is>
      </c>
      <c r="D84" s="110" t="inlineStr">
        <is>
          <t>内容</t>
        </is>
      </c>
      <c r="E84" s="111" t="n"/>
      <c r="F84" s="111" t="n"/>
      <c r="G84" s="112" t="n"/>
      <c r="H84" s="110" t="inlineStr">
        <is>
          <t>備考</t>
        </is>
      </c>
      <c r="I84" s="111" t="n"/>
      <c r="J84" s="111" t="n"/>
      <c r="K84" s="111" t="n"/>
      <c r="L84" s="112" t="n"/>
    </row>
    <row r="85" ht="15.75" customHeight="1" s="158">
      <c r="A85" s="40" t="n"/>
      <c r="B85" s="120" t="n"/>
      <c r="C85" s="113" t="n"/>
      <c r="D85" s="122" t="n"/>
      <c r="E85" s="114" t="n"/>
      <c r="F85" s="114" t="n"/>
      <c r="G85" s="102" t="n"/>
      <c r="H85" s="113" t="n"/>
      <c r="I85" s="114" t="n"/>
      <c r="J85" s="114" t="n"/>
      <c r="K85" s="114" t="n"/>
      <c r="L85" s="102" t="n"/>
    </row>
    <row r="86" ht="15.75" customHeight="1" s="158">
      <c r="A86" s="40" t="n"/>
      <c r="B86" s="101" t="inlineStr">
        <is>
          <t>アクション仕様</t>
        </is>
      </c>
      <c r="C86" s="108" t="n"/>
      <c r="D86" s="108" t="n"/>
      <c r="E86" s="108" t="n"/>
      <c r="F86" s="108" t="n"/>
      <c r="G86" s="108" t="n"/>
      <c r="H86" s="105" t="n"/>
      <c r="I86" s="105" t="n"/>
      <c r="J86" s="105" t="n"/>
      <c r="K86" s="105" t="n"/>
      <c r="L86" s="106" t="n"/>
    </row>
    <row r="87" ht="15.75" customHeight="1" s="158">
      <c r="A87" s="40" t="n"/>
      <c r="B87" s="110" t="inlineStr">
        <is>
          <t>アクション</t>
        </is>
      </c>
      <c r="C87" s="111" t="n"/>
      <c r="D87" s="111" t="n"/>
      <c r="E87" s="111" t="n"/>
      <c r="F87" s="111" t="n"/>
      <c r="G87" s="110" t="inlineStr">
        <is>
          <t>備考</t>
        </is>
      </c>
      <c r="H87" s="111" t="n"/>
      <c r="I87" s="111" t="n"/>
      <c r="J87" s="111" t="n"/>
      <c r="K87" s="111" t="n"/>
      <c r="L87" s="112" t="n"/>
    </row>
    <row r="88" ht="15.75" customHeight="1" s="158">
      <c r="B88" s="122" t="n"/>
      <c r="C88" s="114" t="n"/>
      <c r="D88" s="114" t="n"/>
      <c r="E88" s="114" t="n"/>
      <c r="F88" s="102" t="n"/>
      <c r="G88" s="113" t="n"/>
      <c r="H88" s="114" t="n"/>
      <c r="I88" s="114" t="n"/>
      <c r="J88" s="114" t="n"/>
      <c r="K88" s="114" t="n"/>
      <c r="L88" s="102" t="n"/>
    </row>
    <row r="89" ht="15.75" customHeight="1" s="158">
      <c r="B89" s="101" t="inlineStr">
        <is>
          <t>出力仕様（エラーメッセージ）</t>
        </is>
      </c>
      <c r="C89" s="108" t="n"/>
      <c r="D89" s="108" t="n"/>
      <c r="E89" s="108" t="n"/>
      <c r="F89" s="108" t="n"/>
      <c r="G89" s="108" t="n"/>
      <c r="H89" s="105" t="n"/>
      <c r="I89" s="105" t="n"/>
      <c r="J89" s="105" t="n"/>
      <c r="K89" s="105" t="n"/>
      <c r="L89" s="106" t="n"/>
    </row>
    <row r="90" ht="15.75" customHeight="1" s="158">
      <c r="A90" s="40" t="n"/>
      <c r="B90" s="110" t="inlineStr">
        <is>
          <t>エラーメッセージ</t>
        </is>
      </c>
      <c r="C90" s="111" t="n"/>
      <c r="D90" s="111" t="n"/>
      <c r="E90" s="111" t="n"/>
      <c r="F90" s="111" t="n"/>
      <c r="G90" s="110" t="inlineStr">
        <is>
          <t>備考</t>
        </is>
      </c>
      <c r="H90" s="111" t="n"/>
      <c r="I90" s="111" t="n"/>
      <c r="J90" s="111" t="n"/>
      <c r="K90" s="111" t="n"/>
      <c r="L90" s="112" t="n"/>
    </row>
    <row r="91" ht="15.75" customHeight="1" s="158">
      <c r="A91" s="40" t="n"/>
      <c r="B91" s="122" t="n"/>
      <c r="C91" s="114" t="n"/>
      <c r="D91" s="114" t="n"/>
      <c r="E91" s="114" t="n"/>
      <c r="F91" s="102" t="n"/>
      <c r="G91" s="113" t="n"/>
      <c r="H91" s="114" t="n"/>
      <c r="I91" s="114" t="n"/>
      <c r="J91" s="114" t="n"/>
      <c r="K91" s="114" t="n"/>
      <c r="L91" s="102" t="n"/>
    </row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0070C0"/>
    <outlinePr summaryBelow="0" summaryRight="0"/>
    <pageSetUpPr/>
  </sheetPr>
  <dimension ref="A1:O68"/>
  <sheetViews>
    <sheetView workbookViewId="0">
      <selection activeCell="A1" sqref="A1"/>
    </sheetView>
  </sheetViews>
  <sheetFormatPr baseColWidth="8" defaultColWidth="12.63" defaultRowHeight="15" customHeight="1"/>
  <cols>
    <col width="0.25" customWidth="1" style="158" min="1" max="1"/>
    <col width="15" customWidth="1" style="158" min="2" max="2"/>
    <col width="12.38" customWidth="1" style="158" min="3" max="3"/>
    <col width="11.13" customWidth="1" style="158" min="4" max="15"/>
  </cols>
  <sheetData>
    <row r="1" ht="1.5" customHeight="1" s="158">
      <c r="A1" s="40" t="n"/>
      <c r="B1" s="40" t="n"/>
      <c r="C1" s="40" t="n"/>
      <c r="D1" s="40" t="n"/>
      <c r="E1" s="40" t="n"/>
    </row>
    <row r="2" ht="15.75" customHeight="1" s="158">
      <c r="A2" s="40" t="n"/>
      <c r="B2" s="101" t="inlineStr">
        <is>
          <t>画面ID</t>
        </is>
      </c>
      <c r="C2" s="102">
        <f t="array" ref="C2">XLOOKUP(E2,'[1]画面定義一覧　（From Client)'!C3:C39,'[1]画面定義一覧　（From Client)'!B3:B39,"",0,1)</f>
        <v/>
      </c>
      <c r="D2" s="101" t="inlineStr">
        <is>
          <t>画面名</t>
        </is>
      </c>
      <c r="E2" s="198">
        <f t="array" ref="E2">MID(CELL("filename",A1),FIND("]",CELL("filename",A1))+1,99)</f>
        <v/>
      </c>
      <c r="F2" s="159" t="n"/>
      <c r="G2" s="159" t="n"/>
      <c r="H2" s="159" t="n"/>
      <c r="I2" s="159" t="n"/>
      <c r="J2" s="159" t="n"/>
      <c r="K2" s="160" t="n"/>
      <c r="M2" s="132" t="inlineStr">
        <is>
          <t>画面定義一覧</t>
        </is>
      </c>
      <c r="N2" s="133">
        <f>HYPERLINK("#'" &amp; M2 &amp; "'!E3", M2 &amp; "に戻る")</f>
        <v/>
      </c>
    </row>
    <row r="3" ht="15.75" customHeight="1" s="158">
      <c r="A3" s="40" t="n"/>
      <c r="B3" s="104" t="inlineStr">
        <is>
          <t>画面の概要・目的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5.75" customHeight="1" s="158">
      <c r="A4" s="40" t="n"/>
      <c r="B4" s="171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60" t="n"/>
      <c r="N4" s="129" t="inlineStr">
        <is>
          <t>残対応：</t>
        </is>
      </c>
      <c r="O4" s="128" t="inlineStr">
        <is>
          <t>なし</t>
        </is>
      </c>
    </row>
    <row r="5" ht="15.75" customHeight="1" s="158"/>
    <row r="6" ht="15.75" customHeight="1" s="158"/>
    <row r="7" ht="15.75" customHeight="1" s="158"/>
    <row r="8" ht="15.75" customHeight="1" s="158"/>
    <row r="9" ht="15.75" customHeight="1" s="158"/>
    <row r="10" ht="15.75" customHeight="1" s="158"/>
    <row r="11" ht="15.75" customHeight="1" s="158"/>
    <row r="12" ht="15.75" customHeight="1" s="158"/>
    <row r="13" ht="15.75" customHeight="1" s="158">
      <c r="J13" s="128" t="n"/>
    </row>
    <row r="14" ht="15.75" customHeight="1" s="158"/>
    <row r="15" ht="15.75" customHeight="1" s="158"/>
    <row r="16" ht="15.75" customHeight="1" s="158"/>
    <row r="17" ht="15.75" customHeight="1" s="158"/>
    <row r="18" ht="15.75" customHeight="1" s="158"/>
    <row r="19" ht="15.75" customHeight="1" s="158"/>
    <row r="20" ht="15.75" customHeight="1" s="158"/>
    <row r="21" ht="15.75" customHeight="1" s="158"/>
    <row r="22" ht="15.75" customHeight="1" s="158"/>
    <row r="23" ht="15.75" customHeight="1" s="158"/>
    <row r="24" ht="15.75" customHeight="1" s="158"/>
    <row r="25" ht="15.75" customHeight="1" s="158"/>
    <row r="26" ht="15.75" customHeight="1" s="158"/>
    <row r="27" ht="15.75" customHeight="1" s="158"/>
    <row r="28" ht="15.75" customHeight="1" s="158"/>
    <row r="29" ht="15.75" customHeight="1" s="158"/>
    <row r="30" ht="15.75" customHeight="1" s="158"/>
    <row r="31" ht="15.75" customHeight="1" s="158"/>
    <row r="32" ht="15.75" customHeight="1" s="158"/>
    <row r="33" ht="15.75" customHeight="1" s="158"/>
    <row r="34" ht="15.75" customHeight="1" s="158"/>
    <row r="35" ht="15.75" customHeight="1" s="158"/>
    <row r="36" ht="15.75" customHeight="1" s="158"/>
    <row r="37" ht="15.75" customHeight="1" s="158"/>
    <row r="38" ht="15.75" customHeight="1" s="158"/>
    <row r="39" ht="15.75" customHeight="1" s="158"/>
    <row r="40" ht="15.75" customHeight="1" s="158"/>
    <row r="41" ht="15.75" customHeight="1" s="158"/>
    <row r="42" ht="15.75" customHeight="1" s="158">
      <c r="B42" s="101" t="inlineStr">
        <is>
          <t>項目一覧 （入力項目）</t>
        </is>
      </c>
      <c r="C42" s="108" t="n"/>
      <c r="D42" s="108" t="n"/>
      <c r="E42" s="108" t="n"/>
      <c r="F42" s="108" t="n"/>
      <c r="G42" s="105" t="n"/>
      <c r="H42" s="105" t="n"/>
      <c r="I42" s="105" t="n"/>
      <c r="J42" s="105" t="n"/>
      <c r="K42" s="105" t="n"/>
      <c r="L42" s="106" t="n"/>
    </row>
    <row r="43" ht="15.75" customHeight="1" s="158">
      <c r="B43" s="109" t="inlineStr">
        <is>
          <t>大項目</t>
        </is>
      </c>
      <c r="C43" s="109" t="n"/>
      <c r="D43" s="109" t="inlineStr">
        <is>
          <t>項目名</t>
        </is>
      </c>
      <c r="E43" s="109" t="inlineStr">
        <is>
          <t>型</t>
        </is>
      </c>
      <c r="F43" s="109" t="inlineStr">
        <is>
          <t>桁数/形式</t>
        </is>
      </c>
      <c r="G43" s="110" t="inlineStr">
        <is>
          <t>必須/任意</t>
        </is>
      </c>
      <c r="H43" s="110" t="inlineStr">
        <is>
          <t>備考</t>
        </is>
      </c>
      <c r="I43" s="111" t="n"/>
      <c r="J43" s="111" t="n"/>
      <c r="K43" s="111" t="n"/>
      <c r="L43" s="112" t="n"/>
    </row>
    <row r="44" ht="15.75" customHeight="1" s="158">
      <c r="B44" s="120" t="n"/>
      <c r="C44" s="20" t="n"/>
      <c r="D44" s="20" t="n"/>
      <c r="E44" s="120" t="n"/>
      <c r="F44" s="20" t="n"/>
      <c r="G44" s="120" t="n"/>
      <c r="H44" s="122" t="n"/>
      <c r="I44" s="114" t="n"/>
      <c r="J44" s="114" t="n"/>
      <c r="K44" s="114" t="n"/>
      <c r="L44" s="102" t="n"/>
    </row>
    <row r="45" ht="15.75" customHeight="1" s="158">
      <c r="B45" s="101" t="inlineStr">
        <is>
          <t>項目一覧  （表示情報)</t>
        </is>
      </c>
      <c r="C45" s="108" t="n"/>
      <c r="D45" s="108" t="n"/>
      <c r="E45" s="108" t="n"/>
      <c r="F45" s="108" t="n"/>
      <c r="G45" s="108" t="n"/>
      <c r="H45" s="105" t="n"/>
      <c r="I45" s="105" t="n"/>
      <c r="J45" s="105" t="n"/>
      <c r="K45" s="105" t="n"/>
      <c r="L45" s="106" t="n"/>
    </row>
    <row r="46" ht="15.75" customHeight="1" s="158">
      <c r="B46" s="131" t="inlineStr">
        <is>
          <t>大項目名</t>
        </is>
      </c>
      <c r="C46" s="116" t="inlineStr">
        <is>
          <t>小項目名</t>
        </is>
      </c>
      <c r="D46" s="110" t="inlineStr">
        <is>
          <t>内容</t>
        </is>
      </c>
      <c r="E46" s="111" t="n"/>
      <c r="F46" s="111" t="n"/>
      <c r="G46" s="112" t="n"/>
      <c r="H46" s="110" t="inlineStr">
        <is>
          <t>備考</t>
        </is>
      </c>
      <c r="I46" s="111" t="n"/>
      <c r="J46" s="111" t="n"/>
      <c r="K46" s="111" t="n"/>
      <c r="L46" s="112" t="n"/>
    </row>
    <row r="47" ht="15.75" customHeight="1" s="158">
      <c r="B47" s="120" t="inlineStr">
        <is>
          <t>タイトル</t>
        </is>
      </c>
      <c r="C47" s="113" t="n"/>
      <c r="D47" s="121">
        <f>B47&amp;"を表示する"</f>
        <v/>
      </c>
      <c r="E47" s="114" t="n"/>
      <c r="F47" s="114" t="n"/>
      <c r="G47" s="102" t="n"/>
      <c r="H47" s="122" t="n"/>
      <c r="I47" s="114" t="n"/>
      <c r="J47" s="114" t="n"/>
      <c r="K47" s="114" t="n"/>
      <c r="L47" s="102" t="n"/>
    </row>
    <row r="48" ht="15.75" customHeight="1" s="158">
      <c r="B48" s="123" t="inlineStr">
        <is>
          <t>説明</t>
        </is>
      </c>
      <c r="C48" s="113" t="n"/>
      <c r="D48" s="121">
        <f>B48&amp;"を表示する"</f>
        <v/>
      </c>
      <c r="F48" s="114" t="n"/>
      <c r="G48" s="102" t="n"/>
      <c r="H48" s="122" t="n"/>
      <c r="I48" s="114" t="n"/>
      <c r="J48" s="114" t="n"/>
      <c r="K48" s="114" t="n"/>
      <c r="L48" s="102" t="n"/>
    </row>
    <row r="49" ht="15.75" customHeight="1" s="158">
      <c r="B49" s="120" t="inlineStr">
        <is>
          <t>お名前</t>
        </is>
      </c>
      <c r="C49" s="20" t="n"/>
      <c r="D49" s="121">
        <f>B49&amp;"を表示する"</f>
        <v/>
      </c>
      <c r="E49" s="114" t="n"/>
      <c r="F49" s="114" t="n"/>
      <c r="G49" s="102" t="n"/>
      <c r="H49" s="122" t="n"/>
      <c r="I49" s="114" t="n"/>
      <c r="J49" s="114" t="n"/>
      <c r="K49" s="114" t="n"/>
      <c r="L49" s="102" t="n"/>
    </row>
    <row r="50" ht="15.75" customHeight="1" s="158">
      <c r="B50" s="120" t="inlineStr">
        <is>
          <t>お名前入力欄</t>
        </is>
      </c>
      <c r="C50" s="120" t="n"/>
      <c r="D50" s="121">
        <f>B50&amp;"を表示する"</f>
        <v/>
      </c>
      <c r="E50" s="114" t="n"/>
      <c r="F50" s="114" t="n"/>
      <c r="G50" s="102" t="n"/>
      <c r="H50" s="122" t="n"/>
      <c r="I50" s="114" t="n"/>
      <c r="J50" s="114" t="n"/>
      <c r="K50" s="114" t="n"/>
      <c r="L50" s="102" t="n"/>
    </row>
    <row r="51" ht="15.75" customHeight="1" s="158">
      <c r="B51" s="120" t="inlineStr">
        <is>
          <t>メールアドレス</t>
        </is>
      </c>
      <c r="C51" s="120" t="n"/>
      <c r="D51" s="121">
        <f>B51&amp;"を表示する"</f>
        <v/>
      </c>
      <c r="E51" s="114" t="n"/>
      <c r="F51" s="114" t="n"/>
      <c r="G51" s="102" t="n"/>
      <c r="H51" s="122" t="n"/>
      <c r="I51" s="114" t="n"/>
      <c r="J51" s="114" t="n"/>
      <c r="K51" s="114" t="n"/>
      <c r="L51" s="102" t="n"/>
    </row>
    <row r="52" ht="15.75" customHeight="1" s="158">
      <c r="B52" s="120" t="inlineStr">
        <is>
          <t>メールアドレス入力欄</t>
        </is>
      </c>
      <c r="C52" s="120" t="n"/>
      <c r="D52" s="121">
        <f>B52&amp;"を表示する"</f>
        <v/>
      </c>
      <c r="E52" s="114" t="n"/>
      <c r="F52" s="114" t="n"/>
      <c r="G52" s="102" t="n"/>
      <c r="H52" s="122" t="n"/>
      <c r="I52" s="114" t="n"/>
      <c r="J52" s="114" t="n"/>
      <c r="K52" s="114" t="n"/>
      <c r="L52" s="102" t="n"/>
    </row>
    <row r="53" ht="15" customHeight="1" s="158">
      <c r="A53" s="40" t="n"/>
      <c r="B53" s="123" t="inlineStr">
        <is>
          <t>お問い合わせ内容</t>
        </is>
      </c>
      <c r="C53" s="20" t="n"/>
      <c r="D53" s="121">
        <f>B53&amp;"を表示する"</f>
        <v/>
      </c>
      <c r="E53" s="114" t="n"/>
      <c r="F53" s="114" t="n"/>
      <c r="G53" s="102" t="n"/>
      <c r="H53" s="122" t="n"/>
      <c r="I53" s="114" t="n"/>
      <c r="J53" s="114" t="n"/>
      <c r="K53" s="114" t="n"/>
      <c r="L53" s="102" t="n"/>
    </row>
    <row r="54" ht="15" customHeight="1" s="158">
      <c r="A54" s="40" t="n"/>
      <c r="B54" s="123" t="inlineStr">
        <is>
          <t>お問い合わせ内容選択欄</t>
        </is>
      </c>
      <c r="C54" s="20" t="n"/>
      <c r="D54" s="121">
        <f>B54&amp;"を表示する"</f>
        <v/>
      </c>
      <c r="E54" s="114" t="n"/>
      <c r="F54" s="114" t="n"/>
      <c r="G54" s="102" t="n"/>
      <c r="H54" s="122" t="n"/>
      <c r="I54" s="114" t="n"/>
      <c r="J54" s="114" t="n"/>
      <c r="K54" s="114" t="n"/>
      <c r="L54" s="102" t="n"/>
    </row>
    <row r="55" ht="15" customHeight="1" s="158">
      <c r="A55" s="40" t="n"/>
      <c r="B55" s="157" t="inlineStr">
        <is>
          <t>詳細</t>
        </is>
      </c>
      <c r="C55" s="20" t="n"/>
      <c r="D55" s="121">
        <f>B55&amp;"を表示する"</f>
        <v/>
      </c>
      <c r="E55" s="114" t="n"/>
      <c r="F55" s="114" t="n"/>
      <c r="G55" s="102" t="n"/>
      <c r="H55" s="122" t="n"/>
      <c r="I55" s="114" t="n"/>
      <c r="J55" s="114" t="n"/>
      <c r="K55" s="114" t="n"/>
      <c r="L55" s="102" t="n"/>
    </row>
    <row r="56" ht="15" customHeight="1" s="158">
      <c r="A56" s="40" t="n"/>
      <c r="B56" s="157" t="inlineStr">
        <is>
          <t>詳細入力欄</t>
        </is>
      </c>
      <c r="C56" s="20" t="n"/>
      <c r="D56" s="121">
        <f>B56&amp;"を表示する"</f>
        <v/>
      </c>
      <c r="E56" s="114" t="n"/>
      <c r="F56" s="114" t="n"/>
      <c r="G56" s="102" t="n"/>
      <c r="H56" s="122" t="n"/>
      <c r="I56" s="114" t="n"/>
      <c r="J56" s="114" t="n"/>
      <c r="K56" s="114" t="n"/>
      <c r="L56" s="102" t="n"/>
    </row>
    <row r="57" ht="15" customHeight="1" s="158">
      <c r="A57" s="40" t="n"/>
      <c r="B57" s="157" t="inlineStr">
        <is>
          <t>キャンセルボタン</t>
        </is>
      </c>
      <c r="C57" s="20" t="n"/>
      <c r="D57" s="121">
        <f>B57&amp;"を表示する"</f>
        <v/>
      </c>
      <c r="E57" s="114" t="n"/>
      <c r="F57" s="114" t="n"/>
      <c r="G57" s="102" t="n"/>
      <c r="H57" s="122" t="n"/>
      <c r="I57" s="114" t="n"/>
      <c r="J57" s="114" t="n"/>
      <c r="K57" s="114" t="n"/>
      <c r="L57" s="102" t="n"/>
    </row>
    <row r="58" ht="15" customHeight="1" s="158">
      <c r="A58" s="40" t="n"/>
      <c r="B58" s="157" t="inlineStr">
        <is>
          <t>送信するボタン</t>
        </is>
      </c>
      <c r="C58" s="20" t="n"/>
      <c r="D58" s="121">
        <f>B58&amp;"を表示する"</f>
        <v/>
      </c>
      <c r="E58" s="114" t="n"/>
      <c r="F58" s="114" t="n"/>
      <c r="G58" s="102" t="n"/>
      <c r="H58" s="122" t="n"/>
      <c r="I58" s="114" t="n"/>
      <c r="J58" s="114" t="n"/>
      <c r="K58" s="114" t="n"/>
      <c r="L58" s="102" t="n"/>
    </row>
    <row r="59" ht="15.75" customHeight="1" s="158">
      <c r="A59" s="40" t="n"/>
      <c r="B59" s="101" t="inlineStr">
        <is>
          <t>項目一覧  （出力項目)</t>
        </is>
      </c>
      <c r="C59" s="108" t="n"/>
      <c r="D59" s="108" t="n"/>
      <c r="E59" s="108" t="n"/>
      <c r="F59" s="108" t="n"/>
      <c r="G59" s="108" t="n"/>
      <c r="H59" s="105" t="n"/>
      <c r="I59" s="105" t="n"/>
      <c r="J59" s="105" t="n"/>
      <c r="K59" s="105" t="n"/>
      <c r="L59" s="106" t="n"/>
    </row>
    <row r="60" ht="15.75" customHeight="1" s="158">
      <c r="A60" s="40" t="n"/>
      <c r="B60" s="131" t="inlineStr">
        <is>
          <t>大項目名</t>
        </is>
      </c>
      <c r="C60" s="116" t="inlineStr">
        <is>
          <t>小項目名</t>
        </is>
      </c>
      <c r="D60" s="110" t="inlineStr">
        <is>
          <t>内容</t>
        </is>
      </c>
      <c r="E60" s="111" t="n"/>
      <c r="F60" s="111" t="n"/>
      <c r="G60" s="112" t="n"/>
      <c r="H60" s="110" t="inlineStr">
        <is>
          <t>備考</t>
        </is>
      </c>
      <c r="I60" s="111" t="n"/>
      <c r="J60" s="111" t="n"/>
      <c r="K60" s="111" t="n"/>
      <c r="L60" s="112" t="n"/>
    </row>
    <row r="61" ht="15.75" customHeight="1" s="158">
      <c r="A61" s="40" t="n"/>
      <c r="B61" s="120" t="n"/>
      <c r="C61" s="113" t="n"/>
      <c r="D61" s="122" t="n"/>
      <c r="E61" s="114" t="n"/>
      <c r="F61" s="114" t="n"/>
      <c r="G61" s="102" t="n"/>
      <c r="H61" s="113" t="n"/>
      <c r="I61" s="114" t="n"/>
      <c r="J61" s="114" t="n"/>
      <c r="K61" s="114" t="n"/>
      <c r="L61" s="102" t="n"/>
    </row>
    <row r="62" ht="15.75" customHeight="1" s="158">
      <c r="A62" s="40" t="n"/>
      <c r="B62" s="101" t="inlineStr">
        <is>
          <t>アクション仕様</t>
        </is>
      </c>
      <c r="C62" s="108" t="n"/>
      <c r="D62" s="108" t="n"/>
      <c r="E62" s="108" t="n"/>
      <c r="F62" s="108" t="n"/>
      <c r="G62" s="108" t="n"/>
      <c r="H62" s="105" t="n"/>
      <c r="I62" s="105" t="n"/>
      <c r="J62" s="105" t="n"/>
      <c r="K62" s="105" t="n"/>
      <c r="L62" s="106" t="n"/>
    </row>
    <row r="63" ht="15.75" customHeight="1" s="158">
      <c r="A63" s="40" t="n"/>
      <c r="B63" s="110" t="inlineStr">
        <is>
          <t>アクション</t>
        </is>
      </c>
      <c r="C63" s="111" t="n"/>
      <c r="D63" s="111" t="n"/>
      <c r="E63" s="111" t="n"/>
      <c r="F63" s="111" t="n"/>
      <c r="G63" s="110" t="inlineStr">
        <is>
          <t>備考</t>
        </is>
      </c>
      <c r="H63" s="111" t="n"/>
      <c r="I63" s="111" t="n"/>
      <c r="J63" s="111" t="n"/>
      <c r="K63" s="111" t="n"/>
      <c r="L63" s="112" t="n"/>
    </row>
    <row r="64" ht="15.75" customHeight="1" s="158">
      <c r="B64" s="122" t="n"/>
      <c r="C64" s="114" t="n"/>
      <c r="D64" s="114" t="n"/>
      <c r="E64" s="114" t="n"/>
      <c r="F64" s="102" t="n"/>
      <c r="G64" s="113" t="n"/>
      <c r="H64" s="114" t="n"/>
      <c r="I64" s="114" t="n"/>
      <c r="J64" s="114" t="n"/>
      <c r="K64" s="114" t="n"/>
      <c r="L64" s="102" t="n"/>
    </row>
    <row r="65" ht="15.75" customHeight="1" s="158">
      <c r="B65" s="101" t="inlineStr">
        <is>
          <t>出力仕様（エラーメッセージ）</t>
        </is>
      </c>
      <c r="C65" s="108" t="n"/>
      <c r="D65" s="108" t="n"/>
      <c r="E65" s="108" t="n"/>
      <c r="F65" s="108" t="n"/>
      <c r="G65" s="108" t="n"/>
      <c r="H65" s="105" t="n"/>
      <c r="I65" s="105" t="n"/>
      <c r="J65" s="105" t="n"/>
      <c r="K65" s="105" t="n"/>
      <c r="L65" s="106" t="n"/>
    </row>
    <row r="66" ht="15.75" customHeight="1" s="158">
      <c r="A66" s="40" t="n"/>
      <c r="B66" s="110" t="inlineStr">
        <is>
          <t>エラーメッセージ</t>
        </is>
      </c>
      <c r="C66" s="111" t="n"/>
      <c r="D66" s="111" t="n"/>
      <c r="E66" s="111" t="n"/>
      <c r="F66" s="111" t="n"/>
      <c r="G66" s="110" t="inlineStr">
        <is>
          <t>備考</t>
        </is>
      </c>
      <c r="H66" s="111" t="n"/>
      <c r="I66" s="111" t="n"/>
      <c r="J66" s="111" t="n"/>
      <c r="K66" s="111" t="n"/>
      <c r="L66" s="112" t="n"/>
    </row>
    <row r="67" ht="15.75" customHeight="1" s="158">
      <c r="A67" s="40" t="n"/>
      <c r="B67" s="122" t="n"/>
      <c r="C67" s="114" t="n"/>
      <c r="D67" s="114" t="n"/>
      <c r="E67" s="114" t="n"/>
      <c r="F67" s="102" t="n"/>
      <c r="G67" s="113" t="n"/>
      <c r="H67" s="114" t="n"/>
      <c r="I67" s="114" t="n"/>
      <c r="J67" s="114" t="n"/>
      <c r="K67" s="114" t="n"/>
      <c r="L67" s="102" t="n"/>
    </row>
    <row r="68" ht="15.75" customHeight="1" s="158">
      <c r="A68" s="40" t="n"/>
    </row>
    <row r="69" ht="15.75" customHeight="1" s="158"/>
    <row r="70" ht="15.75" customHeight="1" s="158"/>
    <row r="71" ht="15.75" customHeight="1" s="158"/>
    <row r="72" ht="15.75" customHeight="1" s="158"/>
    <row r="73" ht="15.75" customHeight="1" s="158"/>
    <row r="74" ht="15.75" customHeight="1" s="158"/>
    <row r="75" ht="15.75" customHeight="1" s="158"/>
    <row r="76" ht="15.75" customHeight="1" s="158"/>
    <row r="77" ht="15.75" customHeight="1" s="158"/>
    <row r="78" ht="15.75" customHeight="1" s="158"/>
    <row r="79" ht="15.75" customHeight="1" s="158"/>
    <row r="80" ht="15.75" customHeight="1" s="158"/>
    <row r="81" ht="15.75" customHeight="1" s="158"/>
    <row r="82" ht="15.75" customHeight="1" s="158"/>
    <row r="83" ht="15.75" customHeight="1" s="158"/>
    <row r="84" ht="15.75" customHeight="1" s="158"/>
    <row r="85" ht="15.75" customHeight="1" s="158"/>
    <row r="86" ht="15.75" customHeight="1" s="158"/>
    <row r="87" ht="15.75" customHeight="1" s="158"/>
    <row r="88" ht="15.75" customHeight="1" s="158"/>
    <row r="89" ht="15.75" customHeight="1" s="158"/>
    <row r="90" ht="15.75" customHeight="1" s="158"/>
    <row r="91" ht="15.75" customHeight="1" s="158"/>
    <row r="92" ht="15.75" customHeight="1" s="158"/>
    <row r="93" ht="15.75" customHeight="1" s="158"/>
    <row r="94" ht="15.75" customHeight="1" s="158"/>
    <row r="95" ht="15.75" customHeight="1" s="158"/>
    <row r="96" ht="15.75" customHeight="1" s="158"/>
    <row r="97" ht="15.75" customHeight="1" s="158"/>
    <row r="98" ht="15.75" customHeight="1" s="158"/>
    <row r="99" ht="15.75" customHeight="1" s="158"/>
    <row r="100" ht="15.75" customHeight="1" s="158"/>
    <row r="101" ht="15.75" customHeight="1" s="158"/>
    <row r="102" ht="15.75" customHeight="1" s="158"/>
    <row r="103" ht="15.75" customHeight="1" s="158"/>
    <row r="104" ht="15.75" customHeight="1" s="158"/>
    <row r="105" ht="15.75" customHeight="1" s="158"/>
    <row r="106" ht="15.75" customHeight="1" s="158"/>
    <row r="107" ht="15.75" customHeight="1" s="158"/>
    <row r="108" ht="15.75" customHeight="1" s="158"/>
    <row r="109" ht="15.75" customHeight="1" s="158"/>
    <row r="110" ht="15.75" customHeight="1" s="158"/>
    <row r="111" ht="15.75" customHeight="1" s="158"/>
    <row r="112" ht="15.75" customHeight="1" s="158"/>
    <row r="113" ht="15.75" customHeight="1" s="158"/>
    <row r="114" ht="15.75" customHeight="1" s="158"/>
    <row r="115" ht="15.75" customHeight="1" s="158"/>
    <row r="116" ht="15.75" customHeight="1" s="158"/>
    <row r="117" ht="15.75" customHeight="1" s="158"/>
    <row r="118" ht="15.75" customHeight="1" s="158"/>
    <row r="119" ht="15.75" customHeight="1" s="158"/>
    <row r="120" ht="15.75" customHeight="1" s="158"/>
    <row r="121" ht="15.75" customHeight="1" s="158"/>
    <row r="122" ht="15.75" customHeight="1" s="158"/>
    <row r="123" ht="15.75" customHeight="1" s="158"/>
    <row r="124" ht="15.75" customHeight="1" s="158"/>
    <row r="125" ht="15.75" customHeight="1" s="158"/>
    <row r="126" ht="15.75" customHeight="1" s="158"/>
    <row r="127" ht="15.75" customHeight="1" s="158"/>
    <row r="128" ht="15.75" customHeight="1" s="158"/>
    <row r="129" ht="15.75" customHeight="1" s="158"/>
    <row r="130" ht="15.75" customHeight="1" s="158"/>
    <row r="131" ht="15.75" customHeight="1" s="158"/>
    <row r="132" ht="15.75" customHeight="1" s="158"/>
    <row r="133" ht="15.75" customHeight="1" s="158"/>
    <row r="134" ht="15.75" customHeight="1" s="158"/>
    <row r="135" ht="15.75" customHeight="1" s="158"/>
    <row r="136" ht="15.75" customHeight="1" s="158"/>
    <row r="137" ht="15.75" customHeight="1" s="158"/>
    <row r="138" ht="15.75" customHeight="1" s="158"/>
    <row r="139" ht="15.75" customHeight="1" s="158"/>
    <row r="140" ht="15.75" customHeight="1" s="158"/>
    <row r="141" ht="15.75" customHeight="1" s="158"/>
    <row r="142" ht="15.75" customHeight="1" s="158"/>
    <row r="143" ht="15.75" customHeight="1" s="158"/>
    <row r="144" ht="15.75" customHeight="1" s="158"/>
    <row r="145" ht="15.75" customHeight="1" s="158"/>
    <row r="146" ht="15.75" customHeight="1" s="158"/>
    <row r="147" ht="15.75" customHeight="1" s="158"/>
    <row r="148" ht="15.75" customHeight="1" s="158"/>
    <row r="149" ht="15.75" customHeight="1" s="158"/>
    <row r="150" ht="15.75" customHeight="1" s="158"/>
    <row r="151" ht="15.75" customHeight="1" s="158"/>
    <row r="152" ht="15.75" customHeight="1" s="158"/>
    <row r="153" ht="15.75" customHeight="1" s="158"/>
    <row r="154" ht="15.75" customHeight="1" s="158"/>
    <row r="155" ht="15.75" customHeight="1" s="158"/>
    <row r="156" ht="15.75" customHeight="1" s="158"/>
    <row r="157" ht="15.75" customHeight="1" s="158"/>
    <row r="158" ht="15.75" customHeight="1" s="158"/>
    <row r="159" ht="15.75" customHeight="1" s="158"/>
    <row r="160" ht="15.75" customHeight="1" s="158"/>
    <row r="161" ht="15.75" customHeight="1" s="158"/>
    <row r="162" ht="15.75" customHeight="1" s="158"/>
    <row r="163" ht="15.75" customHeight="1" s="158"/>
    <row r="164" ht="15.75" customHeight="1" s="158"/>
    <row r="165" ht="15.75" customHeight="1" s="158"/>
    <row r="166" ht="15.75" customHeight="1" s="158"/>
    <row r="167" ht="15.75" customHeight="1" s="158"/>
    <row r="168" ht="15.75" customHeight="1" s="158"/>
    <row r="169" ht="15.75" customHeight="1" s="158"/>
    <row r="170" ht="15.75" customHeight="1" s="158"/>
    <row r="171" ht="15.75" customHeight="1" s="158"/>
    <row r="172" ht="15.75" customHeight="1" s="158"/>
    <row r="173" ht="15.75" customHeight="1" s="158"/>
    <row r="174" ht="15.75" customHeight="1" s="158"/>
    <row r="175" ht="15.75" customHeight="1" s="158"/>
    <row r="176" ht="15.75" customHeight="1" s="158"/>
    <row r="177" ht="15.75" customHeight="1" s="158"/>
    <row r="178" ht="15.75" customHeight="1" s="158"/>
    <row r="179" ht="15.75" customHeight="1" s="158"/>
    <row r="180" ht="15.75" customHeight="1" s="158"/>
    <row r="181" ht="15.75" customHeight="1" s="158"/>
    <row r="182" ht="15.75" customHeight="1" s="158"/>
    <row r="183" ht="15.75" customHeight="1" s="158"/>
    <row r="184" ht="15.75" customHeight="1" s="158"/>
    <row r="185" ht="15.75" customHeight="1" s="158"/>
    <row r="186" ht="15.75" customHeight="1" s="158"/>
    <row r="187" ht="15.75" customHeight="1" s="158"/>
    <row r="188" ht="15.75" customHeight="1" s="158"/>
    <row r="189" ht="15.75" customHeight="1" s="158"/>
    <row r="190" ht="15.75" customHeight="1" s="158"/>
    <row r="191" ht="15.75" customHeight="1" s="158"/>
    <row r="192" ht="15.75" customHeight="1" s="158"/>
    <row r="193" ht="15.75" customHeight="1" s="158"/>
    <row r="194" ht="15.75" customHeight="1" s="158"/>
    <row r="195" ht="15.75" customHeight="1" s="158"/>
    <row r="196" ht="15.75" customHeight="1" s="158"/>
    <row r="197" ht="15.75" customHeight="1" s="158"/>
    <row r="198" ht="15.75" customHeight="1" s="158"/>
    <row r="199" ht="15.75" customHeight="1" s="158"/>
    <row r="200" ht="15.75" customHeight="1" s="158"/>
    <row r="201" ht="15.75" customHeight="1" s="158"/>
    <row r="202" ht="15.75" customHeight="1" s="158"/>
    <row r="203" ht="15.75" customHeight="1" s="158"/>
    <row r="204" ht="15.75" customHeight="1" s="158"/>
    <row r="205" ht="15.75" customHeight="1" s="158"/>
    <row r="206" ht="15.75" customHeight="1" s="158"/>
    <row r="207" ht="15.75" customHeight="1" s="158"/>
    <row r="208" ht="15.75" customHeight="1" s="158"/>
    <row r="209" ht="15.75" customHeight="1" s="158"/>
    <row r="210" ht="15.75" customHeight="1" s="158"/>
    <row r="211" ht="15.75" customHeight="1" s="158"/>
    <row r="212" ht="15.75" customHeight="1" s="158"/>
    <row r="213" ht="15.75" customHeight="1" s="158"/>
    <row r="214" ht="15.75" customHeight="1" s="158"/>
    <row r="215" ht="15.75" customHeight="1" s="158"/>
    <row r="216" ht="15.75" customHeight="1" s="158"/>
    <row r="217" ht="15.75" customHeight="1" s="158"/>
    <row r="218" ht="15.75" customHeight="1" s="158"/>
    <row r="219" ht="15.75" customHeight="1" s="158"/>
    <row r="220" ht="15.75" customHeight="1" s="158"/>
    <row r="221" ht="15.75" customHeight="1" s="158"/>
    <row r="222" ht="15.75" customHeight="1" s="158"/>
    <row r="223" ht="15.75" customHeight="1" s="158"/>
    <row r="224" ht="15.75" customHeight="1" s="158"/>
    <row r="225" ht="15.75" customHeight="1" s="158"/>
    <row r="226" ht="15.75" customHeight="1" s="158"/>
    <row r="227" ht="15.75" customHeight="1" s="158"/>
    <row r="228" ht="15.75" customHeight="1" s="158"/>
    <row r="229" ht="15.75" customHeight="1" s="158"/>
    <row r="230" ht="15.75" customHeight="1" s="158"/>
    <row r="231" ht="15.75" customHeight="1" s="158"/>
    <row r="232" ht="15.75" customHeight="1" s="158"/>
    <row r="233" ht="15.75" customHeight="1" s="158"/>
    <row r="234" ht="15.75" customHeight="1" s="158"/>
    <row r="235" ht="15.75" customHeight="1" s="158"/>
    <row r="236" ht="15.75" customHeight="1" s="158"/>
    <row r="237" ht="15.75" customHeight="1" s="158"/>
    <row r="238" ht="15.75" customHeight="1" s="158"/>
    <row r="239" ht="15.75" customHeight="1" s="158"/>
    <row r="240" ht="15.75" customHeight="1" s="158"/>
    <row r="241" ht="15.75" customHeight="1" s="158"/>
    <row r="242" ht="15.75" customHeight="1" s="158"/>
    <row r="243" ht="15.75" customHeight="1" s="158"/>
    <row r="244" ht="15.75" customHeight="1" s="158"/>
    <row r="245" ht="15.75" customHeight="1" s="158"/>
    <row r="246" ht="15.75" customHeight="1" s="158"/>
    <row r="247" ht="15.75" customHeight="1" s="158"/>
    <row r="248" ht="15.75" customHeight="1" s="158"/>
    <row r="249" ht="15.75" customHeight="1" s="158"/>
    <row r="250" ht="15.75" customHeight="1" s="158"/>
    <row r="251" ht="15.75" customHeight="1" s="158"/>
    <row r="252" ht="15.75" customHeight="1" s="158"/>
    <row r="253" ht="15.75" customHeight="1" s="158"/>
    <row r="254" ht="15.75" customHeight="1" s="158"/>
    <row r="255" ht="15.75" customHeight="1" s="158"/>
    <row r="256" ht="15.75" customHeight="1" s="158"/>
    <row r="257" ht="15.75" customHeight="1" s="158"/>
    <row r="258" ht="15.75" customHeight="1" s="158"/>
    <row r="259" ht="15.75" customHeight="1" s="158"/>
    <row r="260" ht="15.75" customHeight="1" s="158"/>
    <row r="261" ht="15.75" customHeight="1" s="158"/>
    <row r="262" ht="15.75" customHeight="1" s="158"/>
    <row r="263" ht="15.75" customHeight="1" s="158"/>
    <row r="264" ht="15.75" customHeight="1" s="158"/>
    <row r="265" ht="15.75" customHeight="1" s="158"/>
    <row r="266" ht="15.75" customHeight="1" s="158"/>
    <row r="267" ht="15.75" customHeight="1" s="158"/>
    <row r="268" ht="15.75" customHeight="1" s="158"/>
    <row r="269" ht="15.75" customHeight="1" s="158"/>
    <row r="270" ht="15.75" customHeight="1" s="158"/>
    <row r="271" ht="15.75" customHeight="1" s="158"/>
    <row r="272" ht="15.75" customHeight="1" s="158"/>
    <row r="273" ht="15.75" customHeight="1" s="158"/>
    <row r="274" ht="15.75" customHeight="1" s="158"/>
    <row r="275" ht="15.75" customHeight="1" s="158"/>
    <row r="276" ht="15.75" customHeight="1" s="158"/>
    <row r="277" ht="15.75" customHeight="1" s="158"/>
    <row r="278" ht="15.75" customHeight="1" s="158"/>
    <row r="279" ht="15.75" customHeight="1" s="158"/>
    <row r="280" ht="15.75" customHeight="1" s="158"/>
    <row r="281" ht="15.75" customHeight="1" s="158"/>
    <row r="282" ht="15.75" customHeight="1" s="158"/>
    <row r="283" ht="15.75" customHeight="1" s="158"/>
    <row r="284" ht="15.75" customHeight="1" s="158"/>
    <row r="285" ht="15.75" customHeight="1" s="158"/>
    <row r="286" ht="15.75" customHeight="1" s="158"/>
    <row r="287" ht="15.75" customHeight="1" s="158"/>
    <row r="288" ht="15.75" customHeight="1" s="158"/>
    <row r="289" ht="15.75" customHeight="1" s="158"/>
    <row r="290" ht="15.75" customHeight="1" s="158"/>
    <row r="291" ht="15.75" customHeight="1" s="158"/>
    <row r="292" ht="15.75" customHeight="1" s="158"/>
    <row r="293" ht="15.75" customHeight="1" s="158"/>
    <row r="294" ht="15.75" customHeight="1" s="158"/>
    <row r="295" ht="15.75" customHeight="1" s="158"/>
    <row r="296" ht="15.75" customHeight="1" s="158"/>
    <row r="297" ht="15.75" customHeight="1" s="158"/>
    <row r="298" ht="15.75" customHeight="1" s="158"/>
    <row r="299" ht="15.75" customHeight="1" s="158"/>
    <row r="300" ht="15.75" customHeight="1" s="158"/>
    <row r="301" ht="15.75" customHeight="1" s="158"/>
    <row r="302" ht="15.75" customHeight="1" s="158"/>
    <row r="303" ht="15.75" customHeight="1" s="158"/>
    <row r="304" ht="15.75" customHeight="1" s="158"/>
    <row r="305" ht="15.75" customHeight="1" s="158"/>
    <row r="306" ht="15.75" customHeight="1" s="158"/>
    <row r="307" ht="15.75" customHeight="1" s="158"/>
    <row r="308" ht="15.75" customHeight="1" s="158"/>
    <row r="309" ht="15.75" customHeight="1" s="158"/>
    <row r="310" ht="15.75" customHeight="1" s="158"/>
    <row r="311" ht="15.75" customHeight="1" s="158"/>
    <row r="312" ht="15.75" customHeight="1" s="158"/>
    <row r="313" ht="15.75" customHeight="1" s="158"/>
    <row r="314" ht="15.75" customHeight="1" s="158"/>
    <row r="315" ht="15.75" customHeight="1" s="158"/>
    <row r="316" ht="15.75" customHeight="1" s="158"/>
    <row r="317" ht="15.75" customHeight="1" s="158"/>
    <row r="318" ht="15.75" customHeight="1" s="158"/>
    <row r="319" ht="15.75" customHeight="1" s="158"/>
    <row r="320" ht="15.75" customHeight="1" s="158"/>
    <row r="321" ht="15.75" customHeight="1" s="158"/>
    <row r="322" ht="15.75" customHeight="1" s="158"/>
    <row r="323" ht="15.75" customHeight="1" s="158"/>
    <row r="324" ht="15.75" customHeight="1" s="158"/>
    <row r="325" ht="15.75" customHeight="1" s="158"/>
    <row r="326" ht="15.75" customHeight="1" s="158"/>
    <row r="327" ht="15.75" customHeight="1" s="158"/>
    <row r="328" ht="15.75" customHeight="1" s="158"/>
    <row r="329" ht="15.75" customHeight="1" s="158"/>
    <row r="330" ht="15.75" customHeight="1" s="158"/>
    <row r="331" ht="15.75" customHeight="1" s="158"/>
    <row r="332" ht="15.75" customHeight="1" s="158"/>
    <row r="333" ht="15.75" customHeight="1" s="158"/>
    <row r="334" ht="15.75" customHeight="1" s="158"/>
    <row r="335" ht="15.75" customHeight="1" s="158"/>
    <row r="336" ht="15.75" customHeight="1" s="158"/>
    <row r="337" ht="15.75" customHeight="1" s="158"/>
    <row r="338" ht="15.75" customHeight="1" s="158"/>
    <row r="339" ht="15.75" customHeight="1" s="158"/>
    <row r="340" ht="15.75" customHeight="1" s="158"/>
    <row r="341" ht="15.75" customHeight="1" s="158"/>
    <row r="342" ht="15.75" customHeight="1" s="158"/>
    <row r="343" ht="15.75" customHeight="1" s="158"/>
    <row r="344" ht="15.75" customHeight="1" s="158"/>
    <row r="345" ht="15.75" customHeight="1" s="158"/>
    <row r="346" ht="15.75" customHeight="1" s="158"/>
    <row r="347" ht="15.75" customHeight="1" s="158"/>
    <row r="348" ht="15.75" customHeight="1" s="158"/>
    <row r="349" ht="15.75" customHeight="1" s="158"/>
    <row r="350" ht="15.75" customHeight="1" s="158"/>
    <row r="351" ht="15.75" customHeight="1" s="158"/>
    <row r="352" ht="15.75" customHeight="1" s="158"/>
    <row r="353" ht="15.75" customHeight="1" s="158"/>
    <row r="354" ht="15.75" customHeight="1" s="158"/>
    <row r="355" ht="15.75" customHeight="1" s="158"/>
    <row r="356" ht="15.75" customHeight="1" s="158"/>
    <row r="357" ht="15.75" customHeight="1" s="158"/>
    <row r="358" ht="15.75" customHeight="1" s="158"/>
    <row r="359" ht="15.75" customHeight="1" s="158"/>
    <row r="360" ht="15.75" customHeight="1" s="158"/>
    <row r="361" ht="15.75" customHeight="1" s="158"/>
    <row r="362" ht="15.75" customHeight="1" s="158"/>
    <row r="363" ht="15.75" customHeight="1" s="158"/>
    <row r="364" ht="15.75" customHeight="1" s="158"/>
    <row r="365" ht="15.75" customHeight="1" s="158"/>
    <row r="366" ht="15.75" customHeight="1" s="158"/>
    <row r="367" ht="15.75" customHeight="1" s="158"/>
    <row r="368" ht="15.75" customHeight="1" s="158"/>
    <row r="369" ht="15.75" customHeight="1" s="158"/>
    <row r="370" ht="15.75" customHeight="1" s="158"/>
    <row r="371" ht="15.75" customHeight="1" s="158"/>
    <row r="372" ht="15.75" customHeight="1" s="158"/>
    <row r="373" ht="15.75" customHeight="1" s="158"/>
    <row r="374" ht="15.75" customHeight="1" s="158"/>
    <row r="375" ht="15.75" customHeight="1" s="158"/>
    <row r="376" ht="15.75" customHeight="1" s="158"/>
    <row r="377" ht="15.75" customHeight="1" s="158"/>
    <row r="378" ht="15.75" customHeight="1" s="158"/>
    <row r="379" ht="15.75" customHeight="1" s="158"/>
    <row r="380" ht="15.75" customHeight="1" s="158"/>
    <row r="381" ht="15.75" customHeight="1" s="158"/>
    <row r="382" ht="15.75" customHeight="1" s="158"/>
    <row r="383" ht="15.75" customHeight="1" s="158"/>
    <row r="384" ht="15.75" customHeight="1" s="158"/>
    <row r="385" ht="15.75" customHeight="1" s="158"/>
    <row r="386" ht="15.75" customHeight="1" s="158"/>
    <row r="387" ht="15.75" customHeight="1" s="158"/>
    <row r="388" ht="15.75" customHeight="1" s="158"/>
    <row r="389" ht="15.75" customHeight="1" s="158"/>
    <row r="390" ht="15.75" customHeight="1" s="158"/>
    <row r="391" ht="15.75" customHeight="1" s="158"/>
    <row r="392" ht="15.75" customHeight="1" s="158"/>
    <row r="393" ht="15.75" customHeight="1" s="158"/>
    <row r="394" ht="15.75" customHeight="1" s="158"/>
    <row r="395" ht="15.75" customHeight="1" s="158"/>
    <row r="396" ht="15.75" customHeight="1" s="158"/>
    <row r="397" ht="15.75" customHeight="1" s="158"/>
    <row r="398" ht="15.75" customHeight="1" s="158"/>
    <row r="399" ht="15.75" customHeight="1" s="158"/>
    <row r="400" ht="15.75" customHeight="1" s="158"/>
    <row r="401" ht="15.75" customHeight="1" s="158"/>
    <row r="402" ht="15.75" customHeight="1" s="158"/>
    <row r="403" ht="15.75" customHeight="1" s="158"/>
    <row r="404" ht="15.75" customHeight="1" s="158"/>
    <row r="405" ht="15.75" customHeight="1" s="158"/>
    <row r="406" ht="15.75" customHeight="1" s="158"/>
    <row r="407" ht="15.7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</sheetData>
  <mergeCells count="2">
    <mergeCell ref="B4:K4"/>
    <mergeCell ref="E2:K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2026-03-31T13:53:50Z</dcterms:created>
  <dcterms:modified xmlns:dcterms="http://purl.org/dc/terms/" xmlns:xsi="http://www.w3.org/2001/XMLSchema-instance" xsi:type="dcterms:W3CDTF">2026-03-31T13:53:51Z</dcterms:modified>
</cp:coreProperties>
</file>