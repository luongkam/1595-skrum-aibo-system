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概算見積" sheetId="2" state="visible" r:id="rId2"/>
    <sheet xmlns:r="http://schemas.openxmlformats.org/officeDocument/2006/relationships" name="AI仕様書" sheetId="3" state="visible" r:id="rId3"/>
    <sheet xmlns:r="http://schemas.openxmlformats.org/officeDocument/2006/relationships" name="詳細見積" sheetId="4" state="visible" r:id="rId4"/>
    <sheet xmlns:r="http://schemas.openxmlformats.org/officeDocument/2006/relationships" name="前提条件" sheetId="5" state="visible" r:id="rId5"/>
    <sheet xmlns:r="http://schemas.openxmlformats.org/officeDocument/2006/relationships" name="カテゴリ別集計" sheetId="6" state="visible" r:id="rId6"/>
    <sheet xmlns:r="http://schemas.openxmlformats.org/officeDocument/2006/relationships" name="支払条件" sheetId="7" state="visible" r:id="rId7"/>
    <sheet xmlns:r="http://schemas.openxmlformats.org/officeDocument/2006/relationships" name="スケジュール" sheetId="8" state="visible" r:id="rId8"/>
  </sheets>
  <definedNames>
    <definedName name="_xlnm.Print_Area" localSheetId="0">'表紙'!$A$1:$G$35</definedName>
    <definedName name="_xlnm.Print_Area" localSheetId="1">'概算見積'!$A$1:$F$30</definedName>
    <definedName name="_xlnm.Print_Area" localSheetId="3">'詳細見積'!$A$1:$J$44</definedName>
    <definedName name="_xlnm.Print_Area" localSheetId="4">'前提条件'!$A$1:$D$37</definedName>
    <definedName name="_xlnm.Print_Area" localSheetId="5">'カテゴリ別集計'!$A$1:$I$18</definedName>
    <definedName name="_xlnm.Print_Area" localSheetId="7">'スケジュール'!$A$1:$E$30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&quot;MM&quot;"/>
    <numFmt numFmtId="165" formatCode="¥#,##0"/>
    <numFmt numFmtId="166" formatCode="0.0%"/>
  </numFmts>
  <fonts count="20">
    <font>
      <name val="Calibri"/>
      <family val="2"/>
      <color theme="1"/>
      <sz val="11"/>
      <scheme val="minor"/>
    </font>
    <font>
      <name val="Yu Gothic"/>
      <b val="1"/>
      <color rgb="00FFFFFF"/>
      <sz val="28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b val="1"/>
      <color rgb="00003366"/>
      <sz val="16"/>
    </font>
    <font>
      <name val="Yu Gothic"/>
      <b val="1"/>
      <color rgb="00003366"/>
      <sz val="14"/>
    </font>
    <font>
      <name val="Yu Gothic"/>
      <b val="1"/>
      <color rgb="00FFFFFF"/>
      <sz val="12"/>
    </font>
    <font>
      <name val="Yu Gothic"/>
      <b val="1"/>
      <color rgb="00003366"/>
      <sz val="11"/>
    </font>
    <font>
      <name val="Yu Gothic"/>
      <b val="1"/>
      <color rgb="00FFFFFF"/>
      <sz val="10"/>
    </font>
    <font>
      <name val="Yu Gothic"/>
      <b val="1"/>
      <color rgb="00FFFFFF"/>
      <sz val="14"/>
    </font>
    <font>
      <name val="Yu Gothic"/>
      <b val="1"/>
      <color rgb="00000000"/>
      <sz val="9"/>
    </font>
    <font>
      <name val="Yu Gothic"/>
      <b val="1"/>
      <color rgb="00FFFFFF"/>
      <sz val="11"/>
    </font>
    <font>
      <name val="Yu Gothic"/>
      <b val="1"/>
      <color rgb="00C62828"/>
      <sz val="10"/>
    </font>
    <font>
      <name val="Yu Gothic"/>
      <b val="1"/>
      <color rgb="00FFFFFF"/>
      <sz val="13"/>
    </font>
    <font>
      <name val="Yu Gothic"/>
      <b val="1"/>
      <sz val="10"/>
    </font>
    <font>
      <name val="Yu Gothic"/>
      <color rgb="00000000"/>
      <sz val="9"/>
    </font>
    <font>
      <name val="Yu Gothic"/>
      <b val="1"/>
      <color rgb="00000000"/>
      <sz val="11"/>
    </font>
    <font>
      <name val="Meiryo"/>
      <b val="1"/>
      <sz val="14"/>
    </font>
    <font>
      <name val="Meiryo"/>
      <b val="1"/>
      <sz val="11"/>
    </font>
    <font>
      <name val="Meiryo"/>
      <b val="1"/>
      <sz val="10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DDDDDD"/>
        <bgColor rgb="00DDDDDD"/>
      </patternFill>
    </fill>
    <fill>
      <patternFill patternType="solid">
        <fgColor rgb="00CCCCCC"/>
        <bgColor rgb="00CCCCC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0" fillId="5" borderId="1" pivotButton="0" quotePrefix="0" xfId="0"/>
    <xf numFmtId="4" fontId="1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0" fillId="2" borderId="1" pivotButton="0" quotePrefix="0" xfId="0"/>
    <xf numFmtId="4" fontId="8" fillId="2" borderId="1" applyAlignment="1" pivotButton="0" quotePrefix="0" xfId="0">
      <alignment horizontal="right" vertical="center"/>
    </xf>
    <xf numFmtId="0" fontId="8" fillId="2" borderId="1" pivotButton="0" quotePrefix="0" xfId="0"/>
    <xf numFmtId="0" fontId="2" fillId="0" borderId="0" pivotButton="0" quotePrefix="0" xfId="0"/>
    <xf numFmtId="0" fontId="0" fillId="6" borderId="1" pivotButton="0" quotePrefix="0" xfId="0"/>
    <xf numFmtId="0" fontId="15" fillId="0" borderId="0" pivotButton="0" quotePrefix="0" xfId="0"/>
    <xf numFmtId="0" fontId="0" fillId="7" borderId="1" pivotButton="0" quotePrefix="0" xfId="0"/>
    <xf numFmtId="0" fontId="0" fillId="4" borderId="1" pivotButton="0" quotePrefix="0" xfId="0"/>
    <xf numFmtId="0" fontId="16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right" vertical="center"/>
    </xf>
    <xf numFmtId="1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1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8" borderId="0" pivotButton="0" quotePrefix="0" xfId="0"/>
    <xf numFmtId="0" fontId="1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30" customWidth="1" min="4" max="4"/>
    <col width="20" customWidth="1" min="5" max="5"/>
    <col width="8" customWidth="1" min="6" max="6"/>
  </cols>
  <sheetData>
    <row r="1" ht="8" customHeight="1"/>
    <row r="2" ht="55" customHeight="1">
      <c r="B2" s="1" t="inlineStr">
        <is>
          <t>御  見  積  書</t>
        </is>
      </c>
    </row>
    <row r="3" ht="8" customHeight="1"/>
    <row r="4" ht="20" customHeight="1">
      <c r="C4" s="3" t="inlineStr">
        <is>
          <t>見積番号</t>
        </is>
      </c>
      <c r="D4" s="4" t="inlineStr">
        <is>
          <t>FSW-2026-1595-001</t>
        </is>
      </c>
      <c r="E4" s="31" t="n"/>
    </row>
    <row r="5" ht="20" customHeight="1">
      <c r="C5" s="3" t="inlineStr">
        <is>
          <t>発行日</t>
        </is>
      </c>
      <c r="D5" s="4" t="inlineStr">
        <is>
          <t>2026年4月1日</t>
        </is>
      </c>
      <c r="E5" s="31" t="n"/>
    </row>
    <row r="6" ht="20" customHeight="1">
      <c r="C6" s="3" t="inlineStr">
        <is>
          <t>有効期限</t>
        </is>
      </c>
      <c r="D6" s="4" t="inlineStr">
        <is>
          <t>発行日より30日間有効</t>
        </is>
      </c>
      <c r="E6" s="31" t="n"/>
    </row>
    <row r="7" ht="16" customHeight="1"/>
    <row r="8" ht="24" customHeight="1">
      <c r="B8" s="6" t="inlineStr">
        <is>
          <t>株式会社Skrum　御中</t>
        </is>
      </c>
    </row>
    <row r="9" ht="18" customHeight="1">
      <c r="B9" s="7" t="inlineStr">
        <is>
          <t>下記の通り御見積申し上げます。</t>
        </is>
      </c>
    </row>
    <row r="10" ht="10" customHeight="1"/>
    <row r="11" ht="26" customHeight="1">
      <c r="B11" s="8" t="inlineStr">
        <is>
          <t>件名：　AiBoシステム開発</t>
        </is>
      </c>
      <c r="C11" s="30" t="n"/>
      <c r="D11" s="30" t="n"/>
      <c r="E11" s="30" t="n"/>
      <c r="F11" s="31" t="n"/>
    </row>
    <row r="12" ht="10" customHeight="1"/>
    <row r="13" ht="30" customHeight="1">
      <c r="B13" s="10" t="inlineStr">
        <is>
          <t>概算見積額（税別）</t>
        </is>
      </c>
      <c r="D13" s="11" t="inlineStr">
        <is>
          <t>※シナリオにより異なります — 詳細は「概算見積」シートをご参照ください</t>
        </is>
      </c>
      <c r="E13" s="30" t="n"/>
      <c r="F13" s="31" t="n"/>
    </row>
    <row r="14" ht="20" customHeight="1">
      <c r="B14" s="12" t="inlineStr">
        <is>
          <t>S1: ¥2,600,000 ～ S4: ¥11,500,000（概算、±20%変動あり）</t>
        </is>
      </c>
    </row>
    <row r="15" ht="10" customHeight="1"/>
    <row r="16" ht="22" customHeight="1">
      <c r="B16" s="13" t="inlineStr"/>
      <c r="C16" s="13" t="inlineStr">
        <is>
          <t>シナリオ</t>
        </is>
      </c>
      <c r="D16" s="13" t="inlineStr">
        <is>
          <t>説明</t>
        </is>
      </c>
      <c r="E16" s="13" t="inlineStr">
        <is>
          <t>概算額（税別）</t>
        </is>
      </c>
      <c r="F16" s="13" t="inlineStr">
        <is>
          <t>GT責任</t>
        </is>
      </c>
    </row>
    <row r="17" ht="18" customHeight="1">
      <c r="B17" s="14" t="inlineStr">
        <is>
          <t>S1</t>
        </is>
      </c>
      <c r="C17" s="14" t="inlineStr">
        <is>
          <t>S1</t>
        </is>
      </c>
      <c r="D17" s="4" t="inlineStr">
        <is>
          <t>Skrum:AI+BE, Fabbi:FE</t>
        </is>
      </c>
      <c r="E17" s="14" t="inlineStr">
        <is>
          <t>¥2,600,000</t>
        </is>
      </c>
      <c r="F17" s="14" t="inlineStr">
        <is>
          <t>Skrum</t>
        </is>
      </c>
    </row>
    <row r="18" ht="18" customHeight="1">
      <c r="B18" s="15" t="inlineStr">
        <is>
          <t>S2</t>
        </is>
      </c>
      <c r="C18" s="15" t="inlineStr">
        <is>
          <t>S2</t>
        </is>
      </c>
      <c r="D18" s="16" t="inlineStr">
        <is>
          <t>Skrum:AI, Fabbi:BE+FE ★</t>
        </is>
      </c>
      <c r="E18" s="15" t="inlineStr">
        <is>
          <t>¥7,900,000</t>
        </is>
      </c>
      <c r="F18" s="15" t="inlineStr">
        <is>
          <t>Fabbi</t>
        </is>
      </c>
    </row>
    <row r="19" ht="18" customHeight="1">
      <c r="B19" s="15" t="inlineStr">
        <is>
          <t>S3</t>
        </is>
      </c>
      <c r="C19" s="15" t="inlineStr">
        <is>
          <t>S3</t>
        </is>
      </c>
      <c r="D19" s="16" t="inlineStr">
        <is>
          <t>Fabbi:全+HITL 80% ★★</t>
        </is>
      </c>
      <c r="E19" s="15" t="inlineStr">
        <is>
          <t>¥9,800,000</t>
        </is>
      </c>
      <c r="F19" s="15" t="inlineStr">
        <is>
          <t>Fabbi</t>
        </is>
      </c>
    </row>
    <row r="20" ht="18" customHeight="1">
      <c r="B20" s="14" t="inlineStr">
        <is>
          <t>S4</t>
        </is>
      </c>
      <c r="C20" s="14" t="inlineStr">
        <is>
          <t>S4</t>
        </is>
      </c>
      <c r="D20" s="4" t="inlineStr">
        <is>
          <t>Fabbi:全 90%純AI</t>
        </is>
      </c>
      <c r="E20" s="14" t="inlineStr">
        <is>
          <t>¥11,500,000</t>
        </is>
      </c>
      <c r="F20" s="14" t="inlineStr">
        <is>
          <t>Fabbi</t>
        </is>
      </c>
    </row>
    <row r="21" ht="10" customHeight="1"/>
    <row r="22" ht="20" customHeight="1">
      <c r="B22" s="17" t="inlineStr">
        <is>
          <t>発行元</t>
        </is>
      </c>
      <c r="C22" s="30" t="n"/>
      <c r="D22" s="30" t="n"/>
      <c r="E22" s="30" t="n"/>
      <c r="F22" s="31" t="n"/>
    </row>
    <row r="23" ht="18" customHeight="1">
      <c r="C23" s="18" t="inlineStr">
        <is>
          <t>会社名</t>
        </is>
      </c>
      <c r="D23" s="4" t="inlineStr">
        <is>
          <t>Fabbi Software JSC</t>
        </is>
      </c>
      <c r="E23" s="30" t="n"/>
      <c r="F23" s="31" t="n"/>
    </row>
    <row r="24" ht="18" customHeight="1">
      <c r="C24" s="18" t="inlineStr">
        <is>
          <t>部署</t>
        </is>
      </c>
      <c r="D24" s="4" t="inlineStr">
        <is>
          <t>ソフトウェア開発部</t>
        </is>
      </c>
      <c r="E24" s="30" t="n"/>
      <c r="F24" s="31" t="n"/>
    </row>
    <row r="25" ht="18" customHeight="1">
      <c r="C25" s="18" t="inlineStr">
        <is>
          <t>住所</t>
        </is>
      </c>
      <c r="D25" s="4" t="inlineStr">
        <is>
          <t>Ho Chi Minh City, Vietnam</t>
        </is>
      </c>
      <c r="E25" s="30" t="n"/>
      <c r="F25" s="31" t="n"/>
    </row>
    <row r="26" ht="18" customHeight="1">
      <c r="C26" s="18" t="inlineStr">
        <is>
          <t>Email</t>
        </is>
      </c>
      <c r="D26" s="4" t="inlineStr">
        <is>
          <t>info@fabbi.com.vn</t>
        </is>
      </c>
      <c r="E26" s="30" t="n"/>
      <c r="F26" s="31" t="n"/>
    </row>
    <row r="27" ht="18" customHeight="1">
      <c r="C27" s="18" t="inlineStr">
        <is>
          <t>Web</t>
        </is>
      </c>
      <c r="D27" s="4" t="inlineStr">
        <is>
          <t>https://fabbi.com.vn</t>
        </is>
      </c>
      <c r="E27" s="30" t="n"/>
      <c r="F27" s="31" t="n"/>
    </row>
  </sheetData>
  <mergeCells count="19"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  <mergeCell ref="D4:E4"/>
    <mergeCell ref="B9:F9"/>
    <mergeCell ref="D5:E5"/>
  </mergeCells>
  <pageMargins left="0.5" right="0.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19" t="inlineStr">
        <is>
          <t>概算見積書　— シナリオ比較</t>
        </is>
      </c>
    </row>
    <row r="2" ht="8" customHeight="1">
      <c r="B2" t="inlineStr">
        <is>
          <t>【Skrum様】AiBoシステム</t>
        </is>
      </c>
    </row>
    <row r="3" ht="22" customHeight="1">
      <c r="A3" s="13" t="inlineStr">
        <is>
          <t>工程</t>
        </is>
      </c>
      <c r="B3" s="13" t="inlineStr">
        <is>
          <t>S1（2.6MM）</t>
        </is>
      </c>
      <c r="C3" s="13" t="inlineStr">
        <is>
          <t>S2（7.9MM）</t>
        </is>
      </c>
      <c r="D3" s="13" t="inlineStr">
        <is>
          <t>S3（9.8MM）</t>
        </is>
      </c>
      <c r="E3" s="13" t="inlineStr">
        <is>
          <t>S4（11.5MM）</t>
        </is>
      </c>
      <c r="F3" s="13" t="inlineStr">
        <is>
          <t>備考</t>
        </is>
      </c>
    </row>
    <row r="4" ht="30" customHeight="1">
      <c r="A4" s="20" t="inlineStr">
        <is>
          <t>担当説明</t>
        </is>
      </c>
      <c r="B4" s="20" t="inlineStr">
        <is>
          <t>Skrum:AI+BE
Fabbi:FE</t>
        </is>
      </c>
      <c r="C4" s="20" t="inlineStr">
        <is>
          <t>Skrum:AI
Fabbi:BE+FE</t>
        </is>
      </c>
      <c r="D4" s="20" t="inlineStr">
        <is>
          <t>Fabbi:全+HITL 80%</t>
        </is>
      </c>
      <c r="E4" s="20" t="inlineStr">
        <is>
          <t>Fabbi:全 90%純AI</t>
        </is>
      </c>
      <c r="F4" s="20" t="inlineStr">
        <is>
          <t>AIパイプライン責任</t>
        </is>
      </c>
    </row>
    <row r="5" ht="18" customHeight="1">
      <c r="A5" s="21" t="inlineStr">
        <is>
          <t>GT責任者</t>
        </is>
      </c>
      <c r="B5" s="15" t="inlineStr">
        <is>
          <t>Skrum</t>
        </is>
      </c>
      <c r="C5" s="15" t="inlineStr">
        <is>
          <t>Fabbi</t>
        </is>
      </c>
      <c r="D5" s="15" t="inlineStr">
        <is>
          <t>Fabbi</t>
        </is>
      </c>
      <c r="E5" s="15" t="inlineStr">
        <is>
          <t>Fabbi</t>
        </is>
      </c>
      <c r="F5" s="15" t="inlineStr">
        <is>
          <t>GT=グラウンドトゥルース</t>
        </is>
      </c>
    </row>
    <row r="6" ht="8" customHeight="1"/>
    <row r="7" ht="20" customHeight="1">
      <c r="A7" s="4" t="inlineStr">
        <is>
          <t>要件定義・基本設計（10%）</t>
        </is>
      </c>
      <c r="B7" s="22" t="n">
        <v>0.3</v>
      </c>
      <c r="C7" s="22" t="n">
        <v>0.8</v>
      </c>
      <c r="D7" s="22" t="n">
        <v>1</v>
      </c>
      <c r="E7" s="22" t="n">
        <v>1.2</v>
      </c>
      <c r="F7" s="4" t="inlineStr">
        <is>
          <t>スコープ確定・画面設計</t>
        </is>
      </c>
    </row>
    <row r="8" ht="20" customHeight="1">
      <c r="A8" s="4" t="inlineStr">
        <is>
          <t>詳細設計（15%）</t>
        </is>
      </c>
      <c r="B8" s="22" t="n">
        <v>0.4</v>
      </c>
      <c r="C8" s="22" t="n">
        <v>1.2</v>
      </c>
      <c r="D8" s="22" t="n">
        <v>1.5</v>
      </c>
      <c r="E8" s="22" t="n">
        <v>1.7</v>
      </c>
      <c r="F8" s="4" t="inlineStr">
        <is>
          <t>API設計・DB設計</t>
        </is>
      </c>
    </row>
    <row r="9" ht="20" customHeight="1">
      <c r="A9" s="4" t="inlineStr">
        <is>
          <t>製造（AI+BE+FE）（40%）</t>
        </is>
      </c>
      <c r="B9" s="22" t="n">
        <v>1</v>
      </c>
      <c r="C9" s="22" t="n">
        <v>3.2</v>
      </c>
      <c r="D9" s="22" t="n">
        <v>3.9</v>
      </c>
      <c r="E9" s="22" t="n">
        <v>4.6</v>
      </c>
      <c r="F9" s="4" t="inlineStr">
        <is>
          <t>最大工数フェーズ</t>
        </is>
      </c>
    </row>
    <row r="10" ht="20" customHeight="1">
      <c r="A10" s="4" t="inlineStr">
        <is>
          <t>単体試験（15%）</t>
        </is>
      </c>
      <c r="B10" s="22" t="n">
        <v>0.4</v>
      </c>
      <c r="C10" s="22" t="n">
        <v>1.2</v>
      </c>
      <c r="D10" s="22" t="n">
        <v>1.5</v>
      </c>
      <c r="E10" s="22" t="n">
        <v>1.7</v>
      </c>
      <c r="F10" s="4" t="inlineStr">
        <is>
          <t>UT・機能確認</t>
        </is>
      </c>
    </row>
    <row r="11" ht="20" customHeight="1">
      <c r="A11" s="4" t="inlineStr">
        <is>
          <t>結合試験（10%）</t>
        </is>
      </c>
      <c r="B11" s="22" t="n">
        <v>0.3</v>
      </c>
      <c r="C11" s="22" t="n">
        <v>0.8</v>
      </c>
      <c r="D11" s="22" t="n">
        <v>1</v>
      </c>
      <c r="E11" s="22" t="n">
        <v>1.2</v>
      </c>
      <c r="F11" s="4" t="inlineStr">
        <is>
          <t>IT・シナリオテスト</t>
        </is>
      </c>
    </row>
    <row r="12" ht="20" customHeight="1">
      <c r="A12" s="4" t="inlineStr">
        <is>
          <t>PM / BrSE（10%）</t>
        </is>
      </c>
      <c r="B12" s="22" t="n">
        <v>0.3</v>
      </c>
      <c r="C12" s="22" t="n">
        <v>0.8</v>
      </c>
      <c r="D12" s="22" t="n">
        <v>1</v>
      </c>
      <c r="E12" s="22" t="n">
        <v>1.2</v>
      </c>
      <c r="F12" s="4" t="inlineStr">
        <is>
          <t>進捗管理・橋渡し</t>
        </is>
      </c>
    </row>
    <row r="13" ht="24" customHeight="1">
      <c r="A13" s="23" t="inlineStr">
        <is>
          <t>合計（概算・税別）</t>
        </is>
      </c>
      <c r="B13" s="24" t="n">
        <v>2.6</v>
      </c>
      <c r="C13" s="24" t="n">
        <v>7.9</v>
      </c>
      <c r="D13" s="24" t="n">
        <v>9.800000000000001</v>
      </c>
      <c r="E13" s="24" t="n">
        <v>11.5</v>
      </c>
      <c r="F13" s="23" t="inlineStr">
        <is>
          <t>※±20%変動あり</t>
        </is>
      </c>
    </row>
    <row r="14" ht="8" customHeight="1"/>
    <row r="15" ht="22" customHeight="1">
      <c r="A15" s="21" t="inlineStr"/>
      <c r="B15" s="21" t="inlineStr">
        <is>
          <t>S1</t>
        </is>
      </c>
      <c r="C15" s="21" t="inlineStr">
        <is>
          <t>S2</t>
        </is>
      </c>
      <c r="D15" s="21" t="inlineStr">
        <is>
          <t>S3</t>
        </is>
      </c>
      <c r="E15" s="21" t="inlineStr">
        <is>
          <t>S4</t>
        </is>
      </c>
      <c r="F15" s="21" t="inlineStr">
        <is>
          <t>単価前提</t>
        </is>
      </c>
    </row>
    <row r="16" ht="22" customHeight="1">
      <c r="A16" s="25" t="inlineStr">
        <is>
          <t>概算金額（税別）</t>
        </is>
      </c>
      <c r="B16" s="26" t="n">
        <v>3120000</v>
      </c>
      <c r="C16" s="26" t="n">
        <v>9480000</v>
      </c>
      <c r="D16" s="26" t="n">
        <v>11760000</v>
      </c>
      <c r="E16" s="26" t="n">
        <v>13800000</v>
      </c>
      <c r="F16" s="25" t="inlineStr">
        <is>
          <t>@¥1,200,000/人月</t>
        </is>
      </c>
    </row>
    <row r="17" ht="8" customHeight="1"/>
    <row r="18" ht="22" customHeight="1">
      <c r="A18" s="27" t="inlineStr">
        <is>
          <t>推奨</t>
        </is>
      </c>
      <c r="B18" s="27" t="inlineStr"/>
      <c r="C18" s="28" t="inlineStr">
        <is>
          <t>★ 推奨</t>
        </is>
      </c>
      <c r="D18" s="28" t="inlineStr">
        <is>
          <t>★★ 最推奨</t>
        </is>
      </c>
      <c r="E18" s="27" t="inlineStr"/>
      <c r="F18" s="29" t="inlineStr">
        <is>
          <t>★★=Fabbi全担当+HITL品質保証</t>
        </is>
      </c>
    </row>
    <row r="19" ht="8" customHeight="1"/>
    <row r="20" ht="22" customHeight="1">
      <c r="A20" s="13" t="inlineStr">
        <is>
          <t>シナリオ説明</t>
        </is>
      </c>
      <c r="B20" s="30" t="n"/>
      <c r="C20" s="30" t="n"/>
      <c r="D20" s="30" t="n"/>
      <c r="E20" s="30" t="n"/>
      <c r="F20" s="31" t="n"/>
    </row>
    <row r="21" ht="20" customHeight="1">
      <c r="A21" s="21" t="inlineStr">
        <is>
          <t>S1</t>
        </is>
      </c>
      <c r="B21" s="32" t="inlineStr">
        <is>
          <t>Skrum側でAI・BEを担当。Fabbi担当はFEのみ。最小コストだが品質GTはSkrum依存。</t>
        </is>
      </c>
      <c r="C21" s="30" t="n"/>
      <c r="D21" s="30" t="n"/>
      <c r="E21" s="30" t="n"/>
      <c r="F21" s="31" t="n"/>
    </row>
    <row r="22" ht="20" customHeight="1">
      <c r="A22" s="21" t="inlineStr">
        <is>
          <t>S2</t>
        </is>
      </c>
      <c r="B22" s="32" t="inlineStr">
        <is>
          <t>Skrum担当はAIパイプラインのみ。Fabbi担当はBE+FE。GT提供はSkrum。★推奨：役割明確</t>
        </is>
      </c>
      <c r="C22" s="30" t="n"/>
      <c r="D22" s="30" t="n"/>
      <c r="E22" s="30" t="n"/>
      <c r="F22" s="31" t="n"/>
    </row>
    <row r="23" ht="20" customHeight="1">
      <c r="A23" s="21" t="inlineStr">
        <is>
          <t>S3</t>
        </is>
      </c>
      <c r="B23" s="32" t="inlineStr">
        <is>
          <t>Fabbi全担当（AI+BE+FE）。HITL（人間確認ループ）80%で品質保証。★★最推奨</t>
        </is>
      </c>
      <c r="C23" s="30" t="n"/>
      <c r="D23" s="30" t="n"/>
      <c r="E23" s="30" t="n"/>
      <c r="F23" s="31" t="n"/>
    </row>
    <row r="24" ht="20" customHeight="1">
      <c r="A24" s="21" t="inlineStr">
        <is>
          <t>S4</t>
        </is>
      </c>
      <c r="B24" s="32" t="inlineStr">
        <is>
          <t>Fabbi全担当。90%純AI化（HITL最小）。高速だが精度リスクあり。追加QA必要。</t>
        </is>
      </c>
      <c r="C24" s="30" t="n"/>
      <c r="D24" s="30" t="n"/>
      <c r="E24" s="30" t="n"/>
      <c r="F24" s="31" t="n"/>
    </row>
    <row r="25" ht="20" customHeight="1">
      <c r="A25" s="21" t="inlineStr">
        <is>
          <t>GT</t>
        </is>
      </c>
      <c r="B25" s="32" t="inlineStr">
        <is>
          <t>GT（Ground Truth）= 提案書・見積書・請求書の模範文書。S1-2はSkrum提供、S3-4はFabbi調達。</t>
        </is>
      </c>
      <c r="C25" s="30" t="n"/>
      <c r="D25" s="30" t="n"/>
      <c r="E25" s="30" t="n"/>
      <c r="F25" s="31" t="n"/>
    </row>
    <row r="27">
      <c r="A27" t="inlineStr">
        <is>
          <t>S3推奨理由</t>
        </is>
      </c>
      <c r="B27" t="inlineStr">
        <is>
          <t>主要な要因</t>
        </is>
      </c>
      <c r="C27" t="inlineStr">
        <is>
          <t>S3が最適な理由</t>
        </is>
      </c>
    </row>
    <row r="28">
      <c r="A28" t="inlineStr">
        <is>
          <t>品質保証</t>
        </is>
      </c>
      <c r="B28" t="inlineStr">
        <is>
          <t>HITL 80%でSkrum様の精度要望に対応</t>
        </is>
      </c>
      <c r="C28" t="inlineStr">
        <is>
          <t>AI出力の品質リスク低減</t>
        </is>
      </c>
    </row>
    <row r="29">
      <c r="A29" t="inlineStr">
        <is>
          <t>責任明確</t>
        </is>
      </c>
      <c r="B29" t="inlineStr">
        <is>
          <t>Fabbi単独でGT提供可能</t>
        </is>
      </c>
      <c r="C29" t="inlineStr">
        <is>
          <t>Skrum様のGT調達負荷軽減</t>
        </is>
      </c>
    </row>
    <row r="30">
      <c r="A30" t="inlineStr">
        <is>
          <t>コストバランス</t>
        </is>
      </c>
      <c r="B30" t="inlineStr">
        <is>
          <t>9.8MMは補助金枠内対応可能</t>
        </is>
      </c>
      <c r="C30" t="inlineStr">
        <is>
          <t>ものづくり補助金活用しやすい</t>
        </is>
      </c>
    </row>
    <row r="31">
      <c r="A31" t="inlineStr">
        <is>
          <t>技術実績</t>
        </is>
      </c>
      <c r="B31" t="inlineStr">
        <is>
          <t>FabbiのAIプラットフォーム経験活用</t>
        </is>
      </c>
      <c r="C31" t="inlineStr">
        <is>
          <t>類似案件（Domus等）の実績反映</t>
        </is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5" right="0.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30" customWidth="1" min="4" max="4"/>
  </cols>
  <sheetData>
    <row r="1">
      <c r="A1" s="72" t="inlineStr">
        <is>
          <t>AI仕様書 — AiBoシステム開発</t>
        </is>
      </c>
      <c r="B1" s="72" t="inlineStr"/>
      <c r="C1" s="72" t="inlineStr"/>
      <c r="D1" s="72" t="inlineStr"/>
      <c r="E1" s="72" t="inlineStr"/>
    </row>
    <row r="2">
      <c r="A2" t="inlineStr"/>
      <c r="B2" t="inlineStr"/>
      <c r="C2" t="inlineStr"/>
      <c r="D2" t="inlineStr"/>
      <c r="E2" t="inlineStr"/>
    </row>
    <row r="3">
      <c r="A3" s="73" t="inlineStr">
        <is>
          <t>1. LLMプロバイダ選定</t>
        </is>
      </c>
      <c r="B3" t="inlineStr"/>
      <c r="C3" t="inlineStr"/>
      <c r="D3" t="inlineStr"/>
      <c r="E3" t="inlineStr"/>
    </row>
    <row r="4">
      <c r="A4" s="74" t="inlineStr">
        <is>
          <t>項目</t>
        </is>
      </c>
      <c r="B4" s="74" t="inlineStr">
        <is>
          <t>推奨</t>
        </is>
      </c>
      <c r="C4" s="74" t="inlineStr">
        <is>
          <t>代替案</t>
        </is>
      </c>
      <c r="D4" s="74" t="inlineStr">
        <is>
          <t>備考</t>
        </is>
      </c>
      <c r="E4" t="inlineStr"/>
    </row>
    <row r="5">
      <c r="A5" t="inlineStr">
        <is>
          <t>プロバイダ</t>
        </is>
      </c>
      <c r="B5" t="inlineStr">
        <is>
          <t>OpenAI GPT-4o</t>
        </is>
      </c>
      <c r="C5" t="inlineStr">
        <is>
          <t>Anthropic Claude 3.5 Sonnet</t>
        </is>
      </c>
      <c r="D5" t="inlineStr">
        <is>
          <t>コストパフォーマンス重視</t>
        </is>
      </c>
      <c r="E5" t="inlineStr"/>
    </row>
    <row r="6">
      <c r="A6" t="inlineStr">
        <is>
          <t>利用モデル</t>
        </is>
      </c>
      <c r="B6" t="inlineStr">
        <is>
          <t>gpt-4o-2024-05-13</t>
        </is>
      </c>
      <c r="C6" t="inlineStr">
        <is>
          <t>claude-3-5-sonnet-20241022</t>
        </is>
      </c>
      <c r="D6" t="inlineStr">
        <is>
          <t>日本語対応可</t>
        </is>
      </c>
      <c r="E6" t="inlineStr"/>
    </row>
    <row r="7">
      <c r="A7" t="inlineStr">
        <is>
          <t>月間推定コスト</t>
        </is>
      </c>
      <c r="B7" t="inlineStr">
        <is>
          <t>¥50,000〜¥150,000</t>
        </is>
      </c>
      <c r="C7" t="inlineStr">
        <is>
          <t>¥80,000〜¥200,000</t>
        </is>
      </c>
      <c r="D7" t="inlineStr">
        <is>
          <t>利用量による変動</t>
        </is>
      </c>
      <c r="E7" t="inlineStr"/>
    </row>
    <row r="8">
      <c r="A8" s="73" t="inlineStr"/>
      <c r="B8" t="inlineStr"/>
      <c r="C8" t="inlineStr"/>
      <c r="D8" t="inlineStr"/>
      <c r="E8" t="inlineStr"/>
    </row>
    <row r="9">
      <c r="A9" t="inlineStr">
        <is>
          <t>2. AI機能別仕様</t>
        </is>
      </c>
      <c r="B9" t="inlineStr"/>
      <c r="C9" t="inlineStr"/>
      <c r="D9" t="inlineStr"/>
      <c r="E9" t="inlineStr"/>
    </row>
    <row r="10">
      <c r="A10" t="inlineStr">
        <is>
          <t>機能</t>
        </is>
      </c>
      <c r="B10" t="inlineStr">
        <is>
          <t>技術</t>
        </is>
      </c>
      <c r="C10" t="inlineStr">
        <is>
          <t>精度目標</t>
        </is>
      </c>
      <c r="D10" t="inlineStr">
        <is>
          <t>HITL確認率</t>
        </is>
      </c>
      <c r="E10" t="inlineStr"/>
    </row>
    <row r="11">
      <c r="A11" t="inlineStr">
        <is>
          <t>AIコンテンツ抽出</t>
        </is>
      </c>
      <c r="B11" t="inlineStr">
        <is>
          <t>OCR + LLM</t>
        </is>
      </c>
      <c r="C11" t="inlineStr">
        <is>
          <t>95%以上</t>
        </is>
      </c>
      <c r="D11" t="inlineStr">
        <is>
          <t>100%（必須確認）</t>
        </is>
      </c>
      <c r="E11" t="inlineStr"/>
    </row>
    <row r="12">
      <c r="A12" t="inlineStr">
        <is>
          <t>提案書作成</t>
        </is>
      </c>
      <c r="B12" t="inlineStr">
        <is>
          <t>GPT-4o + Template</t>
        </is>
      </c>
      <c r="C12" t="inlineStr">
        <is>
          <t>90%以上</t>
        </is>
      </c>
      <c r="D12" t="inlineStr">
        <is>
          <t>80%</t>
        </is>
      </c>
      <c r="E12" t="inlineStr"/>
    </row>
    <row r="13">
      <c r="A13" s="73" t="inlineStr">
        <is>
          <t>見積書作成</t>
        </is>
      </c>
      <c r="B13" t="inlineStr">
        <is>
          <t>GPT-4o + Template</t>
        </is>
      </c>
      <c r="C13" t="inlineStr">
        <is>
          <t>95%以上（計算）</t>
        </is>
      </c>
      <c r="D13" t="inlineStr">
        <is>
          <t>80%</t>
        </is>
      </c>
      <c r="E13" t="inlineStr"/>
    </row>
    <row r="14">
      <c r="A14" t="inlineStr">
        <is>
          <t>請求書作成</t>
        </is>
      </c>
      <c r="B14" t="inlineStr">
        <is>
          <t>GPT-4o + Template</t>
        </is>
      </c>
      <c r="C14" t="inlineStr">
        <is>
          <t>100%（形式）</t>
        </is>
      </c>
      <c r="D14" t="inlineStr">
        <is>
          <t>100%（法務確認必須）</t>
        </is>
      </c>
      <c r="E14" t="inlineStr"/>
    </row>
    <row r="15">
      <c r="A15" t="inlineStr">
        <is>
          <t>競合分析</t>
        </is>
      </c>
      <c r="B15" t="inlineStr">
        <is>
          <t>Web検索 + LLM要約</t>
        </is>
      </c>
      <c r="C15" t="inlineStr">
        <is>
          <t>70%以上</t>
        </is>
      </c>
      <c r="D15" t="inlineStr">
        <is>
          <t>100%（情報源確認）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3. 前提条件</t>
        </is>
      </c>
      <c r="B17" t="inlineStr"/>
      <c r="C17" t="inlineStr"/>
      <c r="D17" t="inlineStr"/>
      <c r="E17" t="inlineStr"/>
    </row>
    <row r="18">
      <c r="A18" s="73" t="inlineStr">
        <is>
          <t>項目</t>
        </is>
      </c>
      <c r="B18" t="inlineStr">
        <is>
          <t>条件</t>
        </is>
      </c>
      <c r="C18" t="inlineStr"/>
      <c r="D18" t="inlineStr"/>
      <c r="E18" t="inlineStr"/>
    </row>
    <row r="19">
      <c r="A19" t="inlineStr">
        <is>
          <t>GT（模範文書）</t>
        </is>
      </c>
      <c r="B19" t="inlineStr">
        <is>
          <t>Skrum様よりご提供：各種類5〜10件</t>
        </is>
      </c>
      <c r="C19" t="inlineStr"/>
      <c r="D19" t="inlineStr"/>
      <c r="E19" t="inlineStr"/>
    </row>
    <row r="20">
      <c r="A20" t="inlineStr">
        <is>
          <t>GT納期</t>
        </is>
      </c>
      <c r="B20" t="inlineStr">
        <is>
          <t>契約後30日以内</t>
        </is>
      </c>
      <c r="C20" t="inlineStr"/>
      <c r="D20" t="inlineStr"/>
      <c r="E20" t="inlineStr"/>
    </row>
    <row r="21">
      <c r="A21" t="inlineStr">
        <is>
          <t>POC期間</t>
        </is>
      </c>
      <c r="B21" t="inlineStr">
        <is>
          <t>基本設計完了後2週間</t>
        </is>
      </c>
      <c r="C21" t="inlineStr">
        <is>
          <t>精度検証用</t>
        </is>
      </c>
      <c r="D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4. リスク対策</t>
        </is>
      </c>
      <c r="B23" t="inlineStr"/>
      <c r="C23" t="inlineStr"/>
      <c r="D23" t="inlineStr"/>
      <c r="E23" t="inlineStr"/>
    </row>
    <row r="24">
      <c r="A24" t="inlineStr">
        <is>
          <t>リスク</t>
        </is>
      </c>
      <c r="B24" t="inlineStr">
        <is>
          <t>対策</t>
        </is>
      </c>
      <c r="C24" t="inlineStr">
        <is>
          <t>担当</t>
        </is>
      </c>
      <c r="D24" t="inlineStr"/>
    </row>
    <row r="25">
      <c r="A25" t="inlineStr">
        <is>
          <t>LLMサービス停止</t>
        </is>
      </c>
      <c r="B25" t="inlineStr">
        <is>
          <t>複数プロバイダ契約可能</t>
        </is>
      </c>
      <c r="C25" t="inlineStr">
        <is>
          <t>Fabbi</t>
        </is>
      </c>
      <c r="D25" t="inlineStr"/>
    </row>
    <row r="26">
      <c r="A26" t="inlineStr">
        <is>
          <t>精度不足</t>
        </is>
      </c>
      <c r="B26" t="inlineStr">
        <is>
          <t>HITLループで改善</t>
        </is>
      </c>
      <c r="C26" t="inlineStr">
        <is>
          <t>Fabbi + Skrum様</t>
        </is>
      </c>
      <c r="D26" t="inlineStr"/>
    </row>
    <row r="27">
      <c r="A27" t="inlineStr">
        <is>
          <t>コスト超過</t>
        </is>
      </c>
      <c r="B27" t="inlineStr">
        <is>
          <t>月間上限設定 + アラート</t>
        </is>
      </c>
      <c r="C27" t="inlineStr">
        <is>
          <t>Fabbi</t>
        </is>
      </c>
      <c r="D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30" customWidth="1" min="10" max="10"/>
  </cols>
  <sheetData>
    <row r="1" ht="28" customHeight="1">
      <c r="A1" s="33" t="inlineStr">
        <is>
          <t>詳細見積書（WBSレベル）— AiBoシステム開発</t>
        </is>
      </c>
    </row>
    <row r="2" ht="8" customHeight="1"/>
    <row r="3" ht="24" customHeight="1">
      <c r="A3" s="34" t="inlineStr">
        <is>
          <t>WBS ID</t>
        </is>
      </c>
      <c r="B3" s="34" t="inlineStr">
        <is>
          <t>カテゴリ</t>
        </is>
      </c>
      <c r="C3" s="34" t="inlineStr">
        <is>
          <t>機能名</t>
        </is>
      </c>
      <c r="D3" s="34" t="inlineStr">
        <is>
          <t>AI
(MD)</t>
        </is>
      </c>
      <c r="E3" s="34" t="inlineStr">
        <is>
          <t>BE
(MD)</t>
        </is>
      </c>
      <c r="F3" s="34" t="inlineStr">
        <is>
          <t>FE
(MD)</t>
        </is>
      </c>
      <c r="G3" s="34" t="inlineStr">
        <is>
          <t>QA
(MD)</t>
        </is>
      </c>
      <c r="H3" s="34" t="inlineStr">
        <is>
          <t>合計
(MD)</t>
        </is>
      </c>
      <c r="I3" s="34" t="inlineStr">
        <is>
          <t>人月</t>
        </is>
      </c>
      <c r="J3" s="34" t="inlineStr">
        <is>
          <t>備考</t>
        </is>
      </c>
    </row>
    <row r="4" ht="18" customHeight="1">
      <c r="A4" s="35" t="inlineStr">
        <is>
          <t>AIBO-001</t>
        </is>
      </c>
      <c r="B4" s="36" t="inlineStr">
        <is>
          <t>ダッシュボード</t>
        </is>
      </c>
      <c r="C4" s="36" t="inlineStr">
        <is>
          <t>ダッシュボード</t>
        </is>
      </c>
      <c r="D4" s="37" t="n">
        <v>0</v>
      </c>
      <c r="E4" s="37" t="n">
        <v>0.5</v>
      </c>
      <c r="F4" s="37" t="n">
        <v>1</v>
      </c>
      <c r="G4" s="37" t="n">
        <v>2</v>
      </c>
      <c r="H4" s="37">
        <f>SUM(D4:G4)</f>
        <v/>
      </c>
      <c r="I4" s="37">
        <f>H4/20</f>
        <v/>
      </c>
      <c r="J4" s="36" t="inlineStr"/>
    </row>
    <row r="5" ht="20" customHeight="1">
      <c r="A5" s="38" t="inlineStr">
        <is>
          <t xml:space="preserve">  小計　ダッシュボード</t>
        </is>
      </c>
      <c r="B5" s="30" t="n"/>
      <c r="C5" s="31" t="n"/>
      <c r="D5" s="40">
        <f>SUM(D4)</f>
        <v/>
      </c>
      <c r="E5" s="40">
        <f>SUM(E4)</f>
        <v/>
      </c>
      <c r="F5" s="40">
        <f>SUM(F4)</f>
        <v/>
      </c>
      <c r="G5" s="40">
        <f>SUM(G4)</f>
        <v/>
      </c>
      <c r="H5" s="40">
        <f>SUM(H4)</f>
        <v/>
      </c>
      <c r="I5" s="40">
        <f>H5/20</f>
        <v/>
      </c>
      <c r="J5" s="39" t="n"/>
    </row>
    <row r="6" ht="18" customHeight="1">
      <c r="A6" s="35" t="inlineStr">
        <is>
          <t>AIBO-002</t>
        </is>
      </c>
      <c r="B6" s="36" t="inlineStr">
        <is>
          <t>ファイル管理</t>
        </is>
      </c>
      <c r="C6" s="36" t="inlineStr">
        <is>
          <t>ファイルアップロード</t>
        </is>
      </c>
      <c r="D6" s="37" t="n">
        <v>0</v>
      </c>
      <c r="E6" s="37" t="n">
        <v>0.5</v>
      </c>
      <c r="F6" s="37" t="n">
        <v>0.5</v>
      </c>
      <c r="G6" s="37" t="n">
        <v>0.4</v>
      </c>
      <c r="H6" s="37">
        <f>SUM(D6:G6)</f>
        <v/>
      </c>
      <c r="I6" s="37">
        <f>H6/20</f>
        <v/>
      </c>
      <c r="J6" s="36" t="inlineStr"/>
    </row>
    <row r="7" ht="20" customHeight="1">
      <c r="A7" s="38" t="inlineStr">
        <is>
          <t xml:space="preserve">  小計　ファイル管理</t>
        </is>
      </c>
      <c r="B7" s="30" t="n"/>
      <c r="C7" s="31" t="n"/>
      <c r="D7" s="40">
        <f>SUM(D6)</f>
        <v/>
      </c>
      <c r="E7" s="40">
        <f>SUM(E6)</f>
        <v/>
      </c>
      <c r="F7" s="40">
        <f>SUM(F6)</f>
        <v/>
      </c>
      <c r="G7" s="40">
        <f>SUM(G6)</f>
        <v/>
      </c>
      <c r="H7" s="40">
        <f>SUM(H6)</f>
        <v/>
      </c>
      <c r="I7" s="40">
        <f>H7/20</f>
        <v/>
      </c>
      <c r="J7" s="39" t="n"/>
    </row>
    <row r="8" ht="18" customHeight="1">
      <c r="A8" s="41" t="inlineStr">
        <is>
          <t>AIBO-003</t>
        </is>
      </c>
      <c r="B8" s="42" t="inlineStr">
        <is>
          <t>AI文書生成</t>
        </is>
      </c>
      <c r="C8" s="42" t="inlineStr">
        <is>
          <t>AIコンテンツ抽出</t>
        </is>
      </c>
      <c r="D8" s="43" t="n">
        <v>12</v>
      </c>
      <c r="E8" s="43" t="n">
        <v>2</v>
      </c>
      <c r="F8" s="43" t="n">
        <v>1</v>
      </c>
      <c r="G8" s="43" t="n">
        <v>8</v>
      </c>
      <c r="H8" s="43">
        <f>SUM(D8:G8)</f>
        <v/>
      </c>
      <c r="I8" s="43">
        <f>H8/20</f>
        <v/>
      </c>
      <c r="J8" s="42" t="inlineStr">
        <is>
          <t>⚠️ AI重要機能</t>
        </is>
      </c>
    </row>
    <row r="9" ht="20" customHeight="1">
      <c r="A9" s="38" t="inlineStr">
        <is>
          <t xml:space="preserve">  小計　AI文書生成</t>
        </is>
      </c>
      <c r="B9" s="30" t="n"/>
      <c r="C9" s="31" t="n"/>
      <c r="D9" s="40">
        <f>SUM(D8)</f>
        <v/>
      </c>
      <c r="E9" s="40">
        <f>SUM(E8)</f>
        <v/>
      </c>
      <c r="F9" s="40">
        <f>SUM(F8)</f>
        <v/>
      </c>
      <c r="G9" s="40">
        <f>SUM(G8)</f>
        <v/>
      </c>
      <c r="H9" s="40">
        <f>SUM(H8)</f>
        <v/>
      </c>
      <c r="I9" s="40">
        <f>H9/20</f>
        <v/>
      </c>
      <c r="J9" s="39" t="n"/>
    </row>
    <row r="10" ht="18" customHeight="1">
      <c r="A10" s="35" t="inlineStr">
        <is>
          <t>AIBO-004</t>
        </is>
      </c>
      <c r="B10" s="36" t="inlineStr">
        <is>
          <t>ファイル管理</t>
        </is>
      </c>
      <c r="C10" s="36" t="inlineStr">
        <is>
          <t>ファイル一覧・並替</t>
        </is>
      </c>
      <c r="D10" s="37" t="n">
        <v>0</v>
      </c>
      <c r="E10" s="37" t="n">
        <v>0.5</v>
      </c>
      <c r="F10" s="37" t="n">
        <v>1.5</v>
      </c>
      <c r="G10" s="37" t="n">
        <v>1</v>
      </c>
      <c r="H10" s="37">
        <f>SUM(D10:G10)</f>
        <v/>
      </c>
      <c r="I10" s="37">
        <f>H10/20</f>
        <v/>
      </c>
      <c r="J10" s="36" t="inlineStr"/>
    </row>
    <row r="11" ht="18" customHeight="1">
      <c r="A11" s="35" t="inlineStr">
        <is>
          <t>AIBO-005</t>
        </is>
      </c>
      <c r="B11" s="36" t="inlineStr">
        <is>
          <t>ファイル管理</t>
        </is>
      </c>
      <c r="C11" s="36" t="inlineStr">
        <is>
          <t>ファイル削除</t>
        </is>
      </c>
      <c r="D11" s="37" t="n">
        <v>0</v>
      </c>
      <c r="E11" s="37" t="n">
        <v>0.15</v>
      </c>
      <c r="F11" s="37" t="n">
        <v>0.1</v>
      </c>
      <c r="G11" s="37" t="n">
        <v>0.1</v>
      </c>
      <c r="H11" s="37">
        <f>SUM(D11:G11)</f>
        <v/>
      </c>
      <c r="I11" s="37">
        <f>H11/20</f>
        <v/>
      </c>
      <c r="J11" s="36" t="inlineStr"/>
    </row>
    <row r="12" ht="18" customHeight="1">
      <c r="A12" s="35" t="inlineStr">
        <is>
          <t>AIBO-006</t>
        </is>
      </c>
      <c r="B12" s="36" t="inlineStr">
        <is>
          <t>ファイル管理</t>
        </is>
      </c>
      <c r="C12" s="36" t="inlineStr">
        <is>
          <t>ファイルダウンロード</t>
        </is>
      </c>
      <c r="D12" s="37" t="n">
        <v>0</v>
      </c>
      <c r="E12" s="37" t="n">
        <v>0.5</v>
      </c>
      <c r="F12" s="37" t="n">
        <v>0.5</v>
      </c>
      <c r="G12" s="37" t="n">
        <v>0.5</v>
      </c>
      <c r="H12" s="37">
        <f>SUM(D12:G12)</f>
        <v/>
      </c>
      <c r="I12" s="37">
        <f>H12/20</f>
        <v/>
      </c>
      <c r="J12" s="36" t="inlineStr"/>
    </row>
    <row r="13" ht="20" customHeight="1">
      <c r="A13" s="38" t="inlineStr">
        <is>
          <t xml:space="preserve">  小計　ファイル管理</t>
        </is>
      </c>
      <c r="B13" s="30" t="n"/>
      <c r="C13" s="31" t="n"/>
      <c r="D13" s="40">
        <f>SUM(D10,D11,D12)</f>
        <v/>
      </c>
      <c r="E13" s="40">
        <f>SUM(E10,E11,E12)</f>
        <v/>
      </c>
      <c r="F13" s="40">
        <f>SUM(F10,F11,F12)</f>
        <v/>
      </c>
      <c r="G13" s="40">
        <f>SUM(G10,G11,G12)</f>
        <v/>
      </c>
      <c r="H13" s="40">
        <f>SUM(H10,H11,H12)</f>
        <v/>
      </c>
      <c r="I13" s="40">
        <f>H13/20</f>
        <v/>
      </c>
      <c r="J13" s="39" t="n"/>
    </row>
    <row r="14" ht="18" customHeight="1">
      <c r="A14" s="41" t="inlineStr">
        <is>
          <t>AIBO-007</t>
        </is>
      </c>
      <c r="B14" s="42" t="inlineStr">
        <is>
          <t>AI文書生成</t>
        </is>
      </c>
      <c r="C14" s="42" t="inlineStr">
        <is>
          <t>提案書作成</t>
        </is>
      </c>
      <c r="D14" s="43" t="n">
        <v>7</v>
      </c>
      <c r="E14" s="43" t="n">
        <v>2</v>
      </c>
      <c r="F14" s="43" t="n">
        <v>1</v>
      </c>
      <c r="G14" s="43" t="n">
        <v>3</v>
      </c>
      <c r="H14" s="43">
        <f>SUM(D14:G14)</f>
        <v/>
      </c>
      <c r="I14" s="43">
        <f>H14/20</f>
        <v/>
      </c>
      <c r="J14" s="42" t="inlineStr">
        <is>
          <t>⚠️ AI重要機能</t>
        </is>
      </c>
    </row>
    <row r="15" ht="18" customHeight="1">
      <c r="A15" s="41" t="inlineStr">
        <is>
          <t>AIBO-008</t>
        </is>
      </c>
      <c r="B15" s="42" t="inlineStr">
        <is>
          <t>AI文書生成</t>
        </is>
      </c>
      <c r="C15" s="42" t="inlineStr">
        <is>
          <t>見積書作成</t>
        </is>
      </c>
      <c r="D15" s="43" t="n">
        <v>3</v>
      </c>
      <c r="E15" s="43" t="n">
        <v>1</v>
      </c>
      <c r="F15" s="43" t="n">
        <v>1</v>
      </c>
      <c r="G15" s="43" t="n">
        <v>3</v>
      </c>
      <c r="H15" s="43">
        <f>SUM(D15:G15)</f>
        <v/>
      </c>
      <c r="I15" s="43">
        <f>H15/20</f>
        <v/>
      </c>
      <c r="J15" s="42" t="inlineStr"/>
    </row>
    <row r="16" ht="18" customHeight="1">
      <c r="A16" s="41" t="inlineStr">
        <is>
          <t>AIBO-009</t>
        </is>
      </c>
      <c r="B16" s="42" t="inlineStr">
        <is>
          <t>AI文書生成</t>
        </is>
      </c>
      <c r="C16" s="42" t="inlineStr">
        <is>
          <t>請求書作成</t>
        </is>
      </c>
      <c r="D16" s="43" t="n">
        <v>3</v>
      </c>
      <c r="E16" s="43" t="n">
        <v>1</v>
      </c>
      <c r="F16" s="43" t="n">
        <v>1</v>
      </c>
      <c r="G16" s="43" t="n">
        <v>3</v>
      </c>
      <c r="H16" s="43">
        <f>SUM(D16:G16)</f>
        <v/>
      </c>
      <c r="I16" s="43">
        <f>H16/20</f>
        <v/>
      </c>
      <c r="J16" s="42" t="inlineStr"/>
    </row>
    <row r="17" ht="18" customHeight="1">
      <c r="A17" s="41" t="inlineStr">
        <is>
          <t>AIBO-010</t>
        </is>
      </c>
      <c r="B17" s="42" t="inlineStr">
        <is>
          <t>AI文書生成</t>
        </is>
      </c>
      <c r="C17" s="42" t="inlineStr">
        <is>
          <t>競合分析</t>
        </is>
      </c>
      <c r="D17" s="43" t="n">
        <v>3.5</v>
      </c>
      <c r="E17" s="43" t="n">
        <v>0.5</v>
      </c>
      <c r="F17" s="43" t="n">
        <v>1</v>
      </c>
      <c r="G17" s="43" t="n">
        <v>3</v>
      </c>
      <c r="H17" s="43">
        <f>SUM(D17:G17)</f>
        <v/>
      </c>
      <c r="I17" s="43">
        <f>H17/20</f>
        <v/>
      </c>
      <c r="J17" s="42" t="inlineStr">
        <is>
          <t>⚠️ AI重要機能</t>
        </is>
      </c>
    </row>
    <row r="18" ht="20" customHeight="1">
      <c r="A18" s="38" t="inlineStr">
        <is>
          <t xml:space="preserve">  小計　AI文書生成</t>
        </is>
      </c>
      <c r="B18" s="30" t="n"/>
      <c r="C18" s="31" t="n"/>
      <c r="D18" s="40">
        <f>SUM(D14,D15,D16,D17)</f>
        <v/>
      </c>
      <c r="E18" s="40">
        <f>SUM(E14,E15,E16,E17)</f>
        <v/>
      </c>
      <c r="F18" s="40">
        <f>SUM(F14,F15,F16,F17)</f>
        <v/>
      </c>
      <c r="G18" s="40">
        <f>SUM(G14,G15,G16,G17)</f>
        <v/>
      </c>
      <c r="H18" s="40">
        <f>SUM(H14,H15,H16,H17)</f>
        <v/>
      </c>
      <c r="I18" s="40">
        <f>H18/20</f>
        <v/>
      </c>
      <c r="J18" s="39" t="n"/>
    </row>
    <row r="19" ht="18" customHeight="1">
      <c r="A19" s="41" t="inlineStr">
        <is>
          <t>AIBO-011</t>
        </is>
      </c>
      <c r="B19" s="42" t="inlineStr">
        <is>
          <t>AI設定</t>
        </is>
      </c>
      <c r="C19" s="42" t="inlineStr">
        <is>
          <t>AIテンプレート設定</t>
        </is>
      </c>
      <c r="D19" s="43" t="n">
        <v>6</v>
      </c>
      <c r="E19" s="43" t="n">
        <v>2</v>
      </c>
      <c r="F19" s="43" t="n">
        <v>2</v>
      </c>
      <c r="G19" s="43" t="n">
        <v>6</v>
      </c>
      <c r="H19" s="43">
        <f>SUM(D19:G19)</f>
        <v/>
      </c>
      <c r="I19" s="43">
        <f>H19/20</f>
        <v/>
      </c>
      <c r="J19" s="42" t="inlineStr">
        <is>
          <t>⚠️ AI重要機能</t>
        </is>
      </c>
    </row>
    <row r="20" ht="18" customHeight="1">
      <c r="A20" s="44" t="inlineStr">
        <is>
          <t>AIBO-012</t>
        </is>
      </c>
      <c r="B20" s="45" t="inlineStr">
        <is>
          <t>AI設定</t>
        </is>
      </c>
      <c r="C20" s="45" t="inlineStr">
        <is>
          <t>マーケットプレイス</t>
        </is>
      </c>
      <c r="D20" s="46" t="n">
        <v>0</v>
      </c>
      <c r="E20" s="46" t="n">
        <v>2.5</v>
      </c>
      <c r="F20" s="46" t="n">
        <v>2.5</v>
      </c>
      <c r="G20" s="46" t="n">
        <v>3</v>
      </c>
      <c r="H20" s="46">
        <f>SUM(D20:G20)</f>
        <v/>
      </c>
      <c r="I20" s="46">
        <f>H20/20</f>
        <v/>
      </c>
      <c r="J20" s="45" t="inlineStr"/>
    </row>
    <row r="21" ht="20" customHeight="1">
      <c r="A21" s="38" t="inlineStr">
        <is>
          <t xml:space="preserve">  小計　AI設定</t>
        </is>
      </c>
      <c r="B21" s="30" t="n"/>
      <c r="C21" s="31" t="n"/>
      <c r="D21" s="40">
        <f>SUM(D19,D20)</f>
        <v/>
      </c>
      <c r="E21" s="40">
        <f>SUM(E19,E20)</f>
        <v/>
      </c>
      <c r="F21" s="40">
        <f>SUM(F19,F20)</f>
        <v/>
      </c>
      <c r="G21" s="40">
        <f>SUM(G19,G20)</f>
        <v/>
      </c>
      <c r="H21" s="40">
        <f>SUM(H19,H20)</f>
        <v/>
      </c>
      <c r="I21" s="40">
        <f>H21/20</f>
        <v/>
      </c>
      <c r="J21" s="39" t="n"/>
    </row>
    <row r="22" ht="18" customHeight="1">
      <c r="A22" s="35" t="inlineStr">
        <is>
          <t>AIBO-013</t>
        </is>
      </c>
      <c r="B22" s="36" t="inlineStr">
        <is>
          <t>設定</t>
        </is>
      </c>
      <c r="C22" s="36" t="inlineStr">
        <is>
          <t>ユーザ情報</t>
        </is>
      </c>
      <c r="D22" s="37" t="n">
        <v>0</v>
      </c>
      <c r="E22" s="37" t="n">
        <v>0.5</v>
      </c>
      <c r="F22" s="37" t="n">
        <v>1</v>
      </c>
      <c r="G22" s="37" t="n">
        <v>0.5</v>
      </c>
      <c r="H22" s="37">
        <f>SUM(D22:G22)</f>
        <v/>
      </c>
      <c r="I22" s="37">
        <f>H22/20</f>
        <v/>
      </c>
      <c r="J22" s="36" t="inlineStr"/>
    </row>
    <row r="23" ht="18" customHeight="1">
      <c r="A23" s="44" t="inlineStr">
        <is>
          <t>AIBO-014</t>
        </is>
      </c>
      <c r="B23" s="45" t="inlineStr">
        <is>
          <t>設定</t>
        </is>
      </c>
      <c r="C23" s="45" t="inlineStr">
        <is>
          <t>料金プラン</t>
        </is>
      </c>
      <c r="D23" s="46" t="n">
        <v>0</v>
      </c>
      <c r="E23" s="46" t="n">
        <v>2</v>
      </c>
      <c r="F23" s="46" t="n">
        <v>2</v>
      </c>
      <c r="G23" s="46" t="n">
        <v>1.5</v>
      </c>
      <c r="H23" s="46">
        <f>SUM(D23:G23)</f>
        <v/>
      </c>
      <c r="I23" s="46">
        <f>H23/20</f>
        <v/>
      </c>
      <c r="J23" s="45" t="inlineStr"/>
    </row>
    <row r="24" ht="18" customHeight="1">
      <c r="A24" s="35" t="inlineStr">
        <is>
          <t>AIBO-015</t>
        </is>
      </c>
      <c r="B24" s="36" t="inlineStr">
        <is>
          <t>設定</t>
        </is>
      </c>
      <c r="C24" s="36" t="inlineStr">
        <is>
          <t>通知設定</t>
        </is>
      </c>
      <c r="D24" s="37" t="n">
        <v>0</v>
      </c>
      <c r="E24" s="37" t="n">
        <v>0.25</v>
      </c>
      <c r="F24" s="37" t="n">
        <v>0.75</v>
      </c>
      <c r="G24" s="37" t="n">
        <v>0.25</v>
      </c>
      <c r="H24" s="37">
        <f>SUM(D24:G24)</f>
        <v/>
      </c>
      <c r="I24" s="37">
        <f>H24/20</f>
        <v/>
      </c>
      <c r="J24" s="36" t="inlineStr"/>
    </row>
    <row r="25" ht="18" customHeight="1">
      <c r="A25" s="35" t="inlineStr">
        <is>
          <t>AIBO-016</t>
        </is>
      </c>
      <c r="B25" s="36" t="inlineStr">
        <is>
          <t>設定</t>
        </is>
      </c>
      <c r="C25" s="36" t="inlineStr">
        <is>
          <t>パスワード変更</t>
        </is>
      </c>
      <c r="D25" s="37" t="n">
        <v>0</v>
      </c>
      <c r="E25" s="37" t="n">
        <v>0.15</v>
      </c>
      <c r="F25" s="37" t="n">
        <v>0.1</v>
      </c>
      <c r="G25" s="37" t="n">
        <v>0.1</v>
      </c>
      <c r="H25" s="37">
        <f>SUM(D25:G25)</f>
        <v/>
      </c>
      <c r="I25" s="37">
        <f>H25/20</f>
        <v/>
      </c>
      <c r="J25" s="36" t="inlineStr"/>
    </row>
    <row r="26" ht="20" customHeight="1">
      <c r="A26" s="38" t="inlineStr">
        <is>
          <t xml:space="preserve">  小計　設定</t>
        </is>
      </c>
      <c r="B26" s="30" t="n"/>
      <c r="C26" s="31" t="n"/>
      <c r="D26" s="40">
        <f>SUM(D22,D23,D24,D25)</f>
        <v/>
      </c>
      <c r="E26" s="40">
        <f>SUM(E22,E23,E24,E25)</f>
        <v/>
      </c>
      <c r="F26" s="40">
        <f>SUM(F22,F23,F24,F25)</f>
        <v/>
      </c>
      <c r="G26" s="40">
        <f>SUM(G22,G23,G24,G25)</f>
        <v/>
      </c>
      <c r="H26" s="40">
        <f>SUM(H22,H23,H24,H25)</f>
        <v/>
      </c>
      <c r="I26" s="40">
        <f>H26/20</f>
        <v/>
      </c>
      <c r="J26" s="39" t="n"/>
    </row>
    <row r="27" ht="18" customHeight="1">
      <c r="A27" s="35" t="inlineStr">
        <is>
          <t>AIBO-017</t>
        </is>
      </c>
      <c r="B27" s="36" t="inlineStr">
        <is>
          <t>お問合せ</t>
        </is>
      </c>
      <c r="C27" s="36" t="inlineStr">
        <is>
          <t>お問合せフォーム</t>
        </is>
      </c>
      <c r="D27" s="37" t="n">
        <v>0</v>
      </c>
      <c r="E27" s="37" t="n">
        <v>0.15</v>
      </c>
      <c r="F27" s="37" t="n">
        <v>0.1</v>
      </c>
      <c r="G27" s="37" t="n">
        <v>0.1</v>
      </c>
      <c r="H27" s="37">
        <f>SUM(D27:G27)</f>
        <v/>
      </c>
      <c r="I27" s="37">
        <f>H27/20</f>
        <v/>
      </c>
      <c r="J27" s="36" t="inlineStr"/>
    </row>
    <row r="28" ht="20" customHeight="1">
      <c r="A28" s="38" t="inlineStr">
        <is>
          <t xml:space="preserve">  小計　お問合せ</t>
        </is>
      </c>
      <c r="B28" s="30" t="n"/>
      <c r="C28" s="31" t="n"/>
      <c r="D28" s="40">
        <f>SUM(D27)</f>
        <v/>
      </c>
      <c r="E28" s="40">
        <f>SUM(E27)</f>
        <v/>
      </c>
      <c r="F28" s="40">
        <f>SUM(F27)</f>
        <v/>
      </c>
      <c r="G28" s="40">
        <f>SUM(G27)</f>
        <v/>
      </c>
      <c r="H28" s="40">
        <f>SUM(H27)</f>
        <v/>
      </c>
      <c r="I28" s="40">
        <f>H28/20</f>
        <v/>
      </c>
      <c r="J28" s="39" t="n"/>
    </row>
    <row r="29" ht="18" customHeight="1">
      <c r="A29" s="35" t="inlineStr">
        <is>
          <t>AIBO-018</t>
        </is>
      </c>
      <c r="B29" s="36" t="inlineStr">
        <is>
          <t>管理:認証</t>
        </is>
      </c>
      <c r="C29" s="36" t="inlineStr">
        <is>
          <t>ログイン・ログアウト</t>
        </is>
      </c>
      <c r="D29" s="37" t="n">
        <v>0</v>
      </c>
      <c r="E29" s="37" t="n">
        <v>0.3</v>
      </c>
      <c r="F29" s="37" t="n">
        <v>0.2</v>
      </c>
      <c r="G29" s="37" t="n">
        <v>0.25</v>
      </c>
      <c r="H29" s="37">
        <f>SUM(D29:G29)</f>
        <v/>
      </c>
      <c r="I29" s="37">
        <f>H29/20</f>
        <v/>
      </c>
      <c r="J29" s="36" t="inlineStr"/>
    </row>
    <row r="30" ht="20" customHeight="1">
      <c r="A30" s="38" t="inlineStr">
        <is>
          <t xml:space="preserve">  小計　管理:認証</t>
        </is>
      </c>
      <c r="B30" s="30" t="n"/>
      <c r="C30" s="31" t="n"/>
      <c r="D30" s="40">
        <f>SUM(D29)</f>
        <v/>
      </c>
      <c r="E30" s="40">
        <f>SUM(E29)</f>
        <v/>
      </c>
      <c r="F30" s="40">
        <f>SUM(F29)</f>
        <v/>
      </c>
      <c r="G30" s="40">
        <f>SUM(G29)</f>
        <v/>
      </c>
      <c r="H30" s="40">
        <f>SUM(H29)</f>
        <v/>
      </c>
      <c r="I30" s="40">
        <f>H30/20</f>
        <v/>
      </c>
      <c r="J30" s="39" t="n"/>
    </row>
    <row r="31" ht="18" customHeight="1">
      <c r="A31" s="35" t="inlineStr">
        <is>
          <t>AIBO-019</t>
        </is>
      </c>
      <c r="B31" s="36" t="inlineStr">
        <is>
          <t>管理:テナント</t>
        </is>
      </c>
      <c r="C31" s="36" t="inlineStr">
        <is>
          <t>テナント一覧・検索</t>
        </is>
      </c>
      <c r="D31" s="37" t="n">
        <v>0</v>
      </c>
      <c r="E31" s="37" t="n">
        <v>0.2</v>
      </c>
      <c r="F31" s="37" t="n">
        <v>0.3</v>
      </c>
      <c r="G31" s="37" t="n">
        <v>0.2</v>
      </c>
      <c r="H31" s="37">
        <f>SUM(D31:G31)</f>
        <v/>
      </c>
      <c r="I31" s="37">
        <f>H31/20</f>
        <v/>
      </c>
      <c r="J31" s="36" t="inlineStr"/>
    </row>
    <row r="32" ht="18" customHeight="1">
      <c r="A32" s="44" t="inlineStr">
        <is>
          <t>AIBO-020</t>
        </is>
      </c>
      <c r="B32" s="45" t="inlineStr">
        <is>
          <t>管理:テナント</t>
        </is>
      </c>
      <c r="C32" s="45" t="inlineStr">
        <is>
          <t>テナント作成</t>
        </is>
      </c>
      <c r="D32" s="46" t="n">
        <v>0</v>
      </c>
      <c r="E32" s="46" t="n">
        <v>1</v>
      </c>
      <c r="F32" s="46" t="n">
        <v>0.5</v>
      </c>
      <c r="G32" s="46" t="n">
        <v>0.8</v>
      </c>
      <c r="H32" s="46">
        <f>SUM(D32:G32)</f>
        <v/>
      </c>
      <c r="I32" s="46">
        <f>H32/20</f>
        <v/>
      </c>
      <c r="J32" s="45" t="inlineStr"/>
    </row>
    <row r="33" ht="18" customHeight="1">
      <c r="A33" s="35" t="inlineStr">
        <is>
          <t>AIBO-021</t>
        </is>
      </c>
      <c r="B33" s="36" t="inlineStr">
        <is>
          <t>管理:テナント</t>
        </is>
      </c>
      <c r="C33" s="36" t="inlineStr">
        <is>
          <t>テナント編集</t>
        </is>
      </c>
      <c r="D33" s="37" t="n">
        <v>0</v>
      </c>
      <c r="E33" s="37" t="n">
        <v>0.4</v>
      </c>
      <c r="F33" s="37" t="n">
        <v>0.35</v>
      </c>
      <c r="G33" s="37" t="n">
        <v>0.4</v>
      </c>
      <c r="H33" s="37">
        <f>SUM(D33:G33)</f>
        <v/>
      </c>
      <c r="I33" s="37">
        <f>H33/20</f>
        <v/>
      </c>
      <c r="J33" s="36" t="inlineStr"/>
    </row>
    <row r="34" ht="18" customHeight="1">
      <c r="A34" s="35" t="inlineStr">
        <is>
          <t>AIBO-022</t>
        </is>
      </c>
      <c r="B34" s="36" t="inlineStr">
        <is>
          <t>管理:テナント</t>
        </is>
      </c>
      <c r="C34" s="36" t="inlineStr">
        <is>
          <t>テナント停止・削除</t>
        </is>
      </c>
      <c r="D34" s="37" t="n">
        <v>0</v>
      </c>
      <c r="E34" s="37" t="n">
        <v>0.3</v>
      </c>
      <c r="F34" s="37" t="n">
        <v>0.2</v>
      </c>
      <c r="G34" s="37" t="n">
        <v>0.2</v>
      </c>
      <c r="H34" s="37">
        <f>SUM(D34:G34)</f>
        <v/>
      </c>
      <c r="I34" s="37">
        <f>H34/20</f>
        <v/>
      </c>
      <c r="J34" s="36" t="inlineStr"/>
    </row>
    <row r="35" ht="20" customHeight="1">
      <c r="A35" s="38" t="inlineStr">
        <is>
          <t xml:space="preserve">  小計　管理:テナント</t>
        </is>
      </c>
      <c r="B35" s="30" t="n"/>
      <c r="C35" s="31" t="n"/>
      <c r="D35" s="40">
        <f>SUM(D31,D32,D33,D34)</f>
        <v/>
      </c>
      <c r="E35" s="40">
        <f>SUM(E31,E32,E33,E34)</f>
        <v/>
      </c>
      <c r="F35" s="40">
        <f>SUM(F31,F32,F33,F34)</f>
        <v/>
      </c>
      <c r="G35" s="40">
        <f>SUM(G31,G32,G33,G34)</f>
        <v/>
      </c>
      <c r="H35" s="40">
        <f>SUM(H31,H32,H33,H34)</f>
        <v/>
      </c>
      <c r="I35" s="40">
        <f>H35/20</f>
        <v/>
      </c>
      <c r="J35" s="39" t="n"/>
    </row>
    <row r="36" ht="18" customHeight="1">
      <c r="A36" s="35" t="inlineStr">
        <is>
          <t>AIBO-023</t>
        </is>
      </c>
      <c r="B36" s="36" t="inlineStr">
        <is>
          <t>管理:プラン</t>
        </is>
      </c>
      <c r="C36" s="36" t="inlineStr">
        <is>
          <t>プラン一覧</t>
        </is>
      </c>
      <c r="D36" s="37" t="n">
        <v>0</v>
      </c>
      <c r="E36" s="37" t="n">
        <v>0.05</v>
      </c>
      <c r="F36" s="37" t="n">
        <v>0.2</v>
      </c>
      <c r="G36" s="37" t="n">
        <v>0.1</v>
      </c>
      <c r="H36" s="37">
        <f>SUM(D36:G36)</f>
        <v/>
      </c>
      <c r="I36" s="37">
        <f>H36/20</f>
        <v/>
      </c>
      <c r="J36" s="36" t="inlineStr"/>
    </row>
    <row r="37" ht="18" customHeight="1">
      <c r="A37" s="35" t="inlineStr">
        <is>
          <t>AIBO-024</t>
        </is>
      </c>
      <c r="B37" s="36" t="inlineStr">
        <is>
          <t>管理:プラン</t>
        </is>
      </c>
      <c r="C37" s="36" t="inlineStr">
        <is>
          <t>プラン編集</t>
        </is>
      </c>
      <c r="D37" s="37" t="n">
        <v>0</v>
      </c>
      <c r="E37" s="37" t="n">
        <v>0.3</v>
      </c>
      <c r="F37" s="37" t="n">
        <v>0.2</v>
      </c>
      <c r="G37" s="37" t="n">
        <v>0.2</v>
      </c>
      <c r="H37" s="37">
        <f>SUM(D37:G37)</f>
        <v/>
      </c>
      <c r="I37" s="37">
        <f>H37/20</f>
        <v/>
      </c>
      <c r="J37" s="36" t="inlineStr"/>
    </row>
    <row r="38" ht="20" customHeight="1">
      <c r="A38" s="38" t="inlineStr">
        <is>
          <t xml:space="preserve">  小計　管理:プラン</t>
        </is>
      </c>
      <c r="B38" s="30" t="n"/>
      <c r="C38" s="31" t="n"/>
      <c r="D38" s="40">
        <f>SUM(D36,D37)</f>
        <v/>
      </c>
      <c r="E38" s="40">
        <f>SUM(E36,E37)</f>
        <v/>
      </c>
      <c r="F38" s="40">
        <f>SUM(F36,F37)</f>
        <v/>
      </c>
      <c r="G38" s="40">
        <f>SUM(G36,G37)</f>
        <v/>
      </c>
      <c r="H38" s="40">
        <f>SUM(H36,H37)</f>
        <v/>
      </c>
      <c r="I38" s="40">
        <f>H38/20</f>
        <v/>
      </c>
      <c r="J38" s="39" t="n"/>
    </row>
    <row r="39" ht="8" customHeight="1"/>
    <row r="40" ht="24" customHeight="1">
      <c r="A40" s="47" t="inlineStr">
        <is>
          <t>合計</t>
        </is>
      </c>
      <c r="B40" s="30" t="n"/>
      <c r="C40" s="31" t="n"/>
      <c r="D40" s="49">
        <f>SUM(D4,D10,D11,D12,D14,D15,D16,D17,D19,D20,D22,D23,D24,D25,D27,D29,D31,D32,D33,D34,D36,D37)</f>
        <v/>
      </c>
      <c r="E40" s="49">
        <f>SUM(E4,E10,E11,E12,E14,E15,E16,E17,E19,E20,E22,E23,E24,E25,E27,E29,E31,E32,E33,E34,E36,E37)</f>
        <v/>
      </c>
      <c r="F40" s="49">
        <f>SUM(F4,F10,F11,F12,F14,F15,F16,F17,F19,F20,F22,F23,F24,F25,F27,F29,F31,F32,F33,F34,F36,F37)</f>
        <v/>
      </c>
      <c r="G40" s="49">
        <f>SUM(G4,G10,G11,G12,G14,G15,G16,G17,G19,G20,G22,G23,G24,G25,G27,G29,G31,G32,G33,G34,G36,G37)</f>
        <v/>
      </c>
      <c r="H40" s="49">
        <f>SUM(D40:G40)</f>
        <v/>
      </c>
      <c r="I40" s="49">
        <f>H40/20</f>
        <v/>
      </c>
      <c r="J40" s="50" t="n"/>
    </row>
    <row r="42" ht="18" customHeight="1">
      <c r="A42" s="51" t="inlineStr">
        <is>
          <t>凡例:</t>
        </is>
      </c>
      <c r="B42" s="52" t="inlineStr"/>
      <c r="C42" s="53" t="inlineStr">
        <is>
          <t>AI重要機能（AI工数 &gt; 0）</t>
        </is>
      </c>
      <c r="D42" s="54" t="inlineStr"/>
      <c r="E42" s="53" t="inlineStr">
        <is>
          <t>BE重点機能</t>
        </is>
      </c>
      <c r="F42" s="55" t="inlineStr"/>
      <c r="G42" s="53" t="inlineStr">
        <is>
          <t>標準機能</t>
        </is>
      </c>
    </row>
  </sheetData>
  <mergeCells count="13">
    <mergeCell ref="A28:C28"/>
    <mergeCell ref="A1:J1"/>
    <mergeCell ref="A13:C13"/>
    <mergeCell ref="A5:C5"/>
    <mergeCell ref="A40:C40"/>
    <mergeCell ref="A9:C9"/>
    <mergeCell ref="A18:C18"/>
    <mergeCell ref="A21:C21"/>
    <mergeCell ref="A30:C30"/>
    <mergeCell ref="A35:C35"/>
    <mergeCell ref="A7:C7"/>
    <mergeCell ref="A26:C26"/>
    <mergeCell ref="A38:C38"/>
  </mergeCells>
  <pageMargins left="0.4" right="0.4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8" customWidth="1" min="4" max="4"/>
  </cols>
  <sheetData>
    <row r="1" ht="28" customHeight="1">
      <c r="A1" s="33" t="inlineStr">
        <is>
          <t>前提条件・制約条件 — AiBoシステム開発</t>
        </is>
      </c>
    </row>
    <row r="2" ht="6" customHeight="1"/>
    <row r="3" ht="22" customHeight="1">
      <c r="A3" s="56" t="inlineStr">
        <is>
          <t>1. 見積の範囲（スコープ）</t>
        </is>
      </c>
      <c r="B3" s="30" t="n"/>
      <c r="C3" s="30" t="n"/>
      <c r="D3" s="31" t="n"/>
    </row>
    <row r="4" ht="20" customHeight="1">
      <c r="B4" s="25" t="inlineStr">
        <is>
          <t>ユーザアプリ（Web）</t>
        </is>
      </c>
      <c r="C4" s="32" t="inlineStr">
        <is>
          <t>17機能（ダッシュボード・ファイル管理・AI文書生成・AI設定・設定・お問合せ）</t>
        </is>
      </c>
      <c r="D4" s="31" t="n"/>
    </row>
    <row r="5" ht="20" customHeight="1">
      <c r="B5" s="25" t="inlineStr">
        <is>
          <t>管理アプリ（Web）</t>
        </is>
      </c>
      <c r="C5" s="32" t="inlineStr">
        <is>
          <t>7機能（認証・テナント管理・プラン管理）</t>
        </is>
      </c>
      <c r="D5" s="31" t="n"/>
    </row>
    <row r="6" ht="20" customHeight="1">
      <c r="B6" s="25" t="inlineStr">
        <is>
          <t>合計</t>
        </is>
      </c>
      <c r="C6" s="32" t="inlineStr">
        <is>
          <t>24機能、詳細は「詳細見積」シート参照</t>
        </is>
      </c>
      <c r="D6" s="31" t="n"/>
    </row>
    <row r="7" ht="6" customHeight="1"/>
    <row r="8" ht="22" customHeight="1">
      <c r="A8" s="56" t="inlineStr">
        <is>
          <t>2. 含まれないもの（対象外）</t>
        </is>
      </c>
      <c r="B8" s="30" t="n"/>
      <c r="C8" s="30" t="n"/>
      <c r="D8" s="31" t="n"/>
    </row>
    <row r="9" ht="20" customHeight="1">
      <c r="B9" s="4" t="inlineStr">
        <is>
          <t>× 17画面仕様</t>
        </is>
      </c>
      <c r="C9" s="32" t="inlineStr">
        <is>
          <t>ポートフォリオ・コミュニティ機能（別途見積対応）</t>
        </is>
      </c>
      <c r="D9" s="31" t="n"/>
    </row>
    <row r="10" ht="20" customHeight="1">
      <c r="B10" s="4" t="inlineStr">
        <is>
          <t>× AI APIコスト</t>
        </is>
      </c>
      <c r="C10" s="32" t="inlineStr">
        <is>
          <t>OpenAI / Claude等のランタイム費用（実費精算）</t>
        </is>
      </c>
      <c r="D10" s="31" t="n"/>
    </row>
    <row r="11" ht="20" customHeight="1">
      <c r="B11" s="4" t="inlineStr">
        <is>
          <t>× インフラ構築</t>
        </is>
      </c>
      <c r="C11" s="32" t="inlineStr">
        <is>
          <t>サーバ構築・ホスティング費用（別途）</t>
        </is>
      </c>
      <c r="D11" s="31" t="n"/>
    </row>
    <row r="12" ht="20" customHeight="1">
      <c r="B12" s="4" t="inlineStr">
        <is>
          <t>× 運用保守</t>
        </is>
      </c>
      <c r="C12" s="32" t="inlineStr">
        <is>
          <t>本番稼働後の保守対応（別途契約）</t>
        </is>
      </c>
      <c r="D12" s="31" t="n"/>
    </row>
    <row r="13" ht="20" customHeight="1">
      <c r="B13" s="4" t="inlineStr">
        <is>
          <t>× モバイルアプリ</t>
        </is>
      </c>
      <c r="C13" s="32" t="inlineStr">
        <is>
          <t>iOS / Android ネイティブ対応</t>
        </is>
      </c>
      <c r="D13" s="31" t="n"/>
    </row>
    <row r="14" ht="20" customHeight="1">
      <c r="B14" s="4" t="inlineStr">
        <is>
          <t>× セキュリティ監査</t>
        </is>
      </c>
      <c r="C14" s="32" t="inlineStr">
        <is>
          <t>ISMS・ペネトレーションテスト等</t>
        </is>
      </c>
      <c r="D14" s="31" t="n"/>
    </row>
    <row r="15" ht="6" customHeight="1"/>
    <row r="16" ht="22" customHeight="1">
      <c r="A16" s="56" t="inlineStr">
        <is>
          <t>3. 前提条件</t>
        </is>
      </c>
      <c r="B16" s="30" t="n"/>
      <c r="C16" s="30" t="n"/>
      <c r="D16" s="31" t="n"/>
    </row>
    <row r="17" ht="20" customHeight="1">
      <c r="B17" s="4" t="inlineStr">
        <is>
          <t>○ 要件確定</t>
        </is>
      </c>
      <c r="C17" s="32" t="inlineStr">
        <is>
          <t>見積承認後30日以内に要件を確定すること</t>
        </is>
      </c>
      <c r="D17" s="31" t="n"/>
    </row>
    <row r="18" ht="20" customHeight="1">
      <c r="B18" s="4" t="inlineStr">
        <is>
          <t>○ Figmaデザイン</t>
        </is>
      </c>
      <c r="C18" s="32" t="inlineStr">
        <is>
          <t>開発開始前に確定版デザインを提供いただくこと</t>
        </is>
      </c>
      <c r="D18" s="31" t="n"/>
    </row>
    <row r="19" ht="20" customHeight="1">
      <c r="B19" s="4" t="inlineStr">
        <is>
          <t>○ テスト環境</t>
        </is>
      </c>
      <c r="C19" s="32" t="inlineStr">
        <is>
          <t>テスト環境はFabbi側で構築・管理</t>
        </is>
      </c>
      <c r="D19" s="31" t="n"/>
    </row>
    <row r="20" ht="20" customHeight="1">
      <c r="B20" s="4" t="inlineStr">
        <is>
          <t>○ LLMプロバイダ</t>
        </is>
      </c>
      <c r="C20" s="32" t="inlineStr">
        <is>
          <t>AI LLMの選定・契約：S1=Skrum手配、S2-S4=Fabbi手配</t>
        </is>
      </c>
      <c r="D20" s="31" t="n"/>
    </row>
    <row r="21" ht="20" customHeight="1">
      <c r="B21" s="4" t="inlineStr">
        <is>
          <t>○ GTサンプル</t>
        </is>
      </c>
      <c r="C21" s="32" t="inlineStr">
        <is>
          <t>提案書・見積書・請求書の模範文書（GT）を客先よりご提供いただくこと</t>
        </is>
      </c>
      <c r="D21" s="31" t="n"/>
    </row>
    <row r="22" ht="6" customHeight="1"/>
    <row r="23" ht="22" customHeight="1">
      <c r="A23" s="56" t="inlineStr">
        <is>
          <t>4. 確認事項（未回答）</t>
        </is>
      </c>
      <c r="B23" s="30" t="n"/>
      <c r="C23" s="30" t="n"/>
      <c r="D23" s="31" t="n"/>
    </row>
    <row r="24" ht="20" customHeight="1">
      <c r="B24" s="57" t="inlineStr">
        <is>
          <t>Q1</t>
        </is>
      </c>
      <c r="C24" s="32" t="inlineStr">
        <is>
          <t>AIパイプラインの責任分担（Skrum担当 vs Fabbi担当）の確定</t>
        </is>
      </c>
      <c r="D24" s="31" t="n"/>
    </row>
    <row r="25" ht="20" customHeight="1">
      <c r="B25" s="57" t="inlineStr">
        <is>
          <t>Q2</t>
        </is>
      </c>
      <c r="C25" s="32" t="inlineStr">
        <is>
          <t>AI出力の受入基準（GT定義・品質レベル・人間確認ループ割合）</t>
        </is>
      </c>
      <c r="D25" s="31" t="n"/>
    </row>
    <row r="26" ht="20" customHeight="1">
      <c r="B26" s="57" t="inlineStr">
        <is>
          <t>Q3</t>
        </is>
      </c>
      <c r="C26" s="32" t="inlineStr">
        <is>
          <t>17画面仕様（ポートフォリオ・コミュニティ）のスコープ包含可否</t>
        </is>
      </c>
      <c r="D26" s="31" t="n"/>
    </row>
    <row r="27" ht="20" customHeight="1">
      <c r="B27" s="57" t="inlineStr">
        <is>
          <t>Q4</t>
        </is>
      </c>
      <c r="C27" s="32" t="inlineStr">
        <is>
          <t>競合分析機能のデータソース（外部API・手動入力・クロール等）</t>
        </is>
      </c>
      <c r="D27" s="31" t="n"/>
    </row>
    <row r="28" ht="20" customHeight="1">
      <c r="B28" s="57" t="inlineStr">
        <is>
          <t>Q5</t>
        </is>
      </c>
      <c r="C28" s="32" t="inlineStr">
        <is>
          <t>インボイス制度対応の要否（適格請求書発行事業者登録番号等）</t>
        </is>
      </c>
      <c r="D28" s="31" t="n"/>
    </row>
    <row r="29" ht="6" customHeight="1"/>
    <row r="30" ht="22" customHeight="1">
      <c r="A30" s="56" t="inlineStr">
        <is>
          <t>5. 制約条件</t>
        </is>
      </c>
      <c r="B30" s="30" t="n"/>
      <c r="C30" s="30" t="n"/>
      <c r="D30" s="31" t="n"/>
    </row>
    <row r="31" ht="20" customHeight="1">
      <c r="B31" s="4" t="inlineStr">
        <is>
          <t>！ 見積精度</t>
        </is>
      </c>
      <c r="C31" s="32" t="inlineStr">
        <is>
          <t>概算見積のため±20%の変動あり。確定見積は要件定義完了後</t>
        </is>
      </c>
      <c r="D31" s="31" t="n"/>
    </row>
    <row r="32" ht="20" customHeight="1">
      <c r="B32" s="4" t="inlineStr">
        <is>
          <t>！ 追加要件</t>
        </is>
      </c>
      <c r="C32" s="32" t="inlineStr">
        <is>
          <t>スコープ外の追加要件は別途お見積り</t>
        </is>
      </c>
      <c r="D32" s="31" t="n"/>
    </row>
    <row r="33" ht="20" customHeight="1">
      <c r="B33" s="4" t="inlineStr">
        <is>
          <t>！ スケジュール</t>
        </is>
      </c>
      <c r="C33" s="32" t="inlineStr">
        <is>
          <t>着手日確定後に詳細スケジュールを提示（「スケジュール」シート参照）</t>
        </is>
      </c>
      <c r="D33" s="31" t="n"/>
    </row>
    <row r="34" ht="20" customHeight="1">
      <c r="B34" s="4" t="inlineStr">
        <is>
          <t>！ リソース</t>
        </is>
      </c>
      <c r="C34" s="32" t="inlineStr">
        <is>
          <t>S3前提：2〜3名チーム（FE×1 + BE/AI×1 + QA×0.5 + PM×0.5）</t>
        </is>
      </c>
      <c r="D34" s="31" t="n"/>
    </row>
    <row r="36">
      <c r="A36" t="inlineStr">
        <is>
          <t>4. 前提と仮定（確定事項）</t>
        </is>
      </c>
    </row>
    <row r="37">
      <c r="B37" t="inlineStr">
        <is>
          <t>項目</t>
        </is>
      </c>
      <c r="C37" t="inlineStr">
        <is>
          <t>内容</t>
        </is>
      </c>
      <c r="D37" t="inlineStr">
        <is>
          <t>ステータス</t>
        </is>
      </c>
    </row>
    <row r="38">
      <c r="B38" t="inlineStr">
        <is>
          <t>AIプロバイダ</t>
        </is>
      </c>
      <c r="C38" t="inlineStr">
        <is>
          <t>OpenAI GPT-4o（推奨）、変更可</t>
        </is>
      </c>
      <c r="D38" t="inlineStr">
        <is>
          <t>確定後契約</t>
        </is>
      </c>
    </row>
    <row r="39">
      <c r="B39" t="inlineStr">
        <is>
          <t>GT（模範文書）</t>
        </is>
      </c>
      <c r="C39" t="inlineStr">
        <is>
          <t>Skrum様より契約後30日以内にご提供</t>
        </is>
      </c>
      <c r="D39" t="inlineStr">
        <is>
          <t>必須</t>
        </is>
      </c>
    </row>
    <row r="40">
      <c r="B40" t="inlineStr">
        <is>
          <t>AI精度目標</t>
        </is>
      </c>
      <c r="C40" t="inlineStr">
        <is>
          <t>文書生成90%以上・コンテンツ抽出95%以上</t>
        </is>
      </c>
      <c r="D40" t="inlineStr">
        <is>
          <t>POC検証後確定</t>
        </is>
      </c>
    </row>
    <row r="41">
      <c r="B41" t="inlineStr">
        <is>
          <t>競合分析データ</t>
        </is>
      </c>
      <c r="C41" t="inlineStr">
        <is>
          <t>手動入力＋公開情報の検索</t>
        </is>
      </c>
      <c r="D41" t="inlineStr">
        <is>
          <t>仕様確定時</t>
        </is>
      </c>
    </row>
    <row r="42">
      <c r="B42" t="inlineStr">
        <is>
          <t>インボイス制度</t>
        </is>
      </c>
      <c r="C42" t="inlineStr">
        <is>
          <t>要対応（適格請求書番号項目実装）</t>
        </is>
      </c>
      <c r="D42" t="inlineStr">
        <is>
          <t>基本設計反映</t>
        </is>
      </c>
    </row>
    <row r="43">
      <c r="B43" t="inlineStr">
        <is>
          <t>17画面仕様</t>
        </is>
      </c>
      <c r="C43" t="inlineStr">
        <is>
          <t>本見積対象外（別途見積）</t>
        </is>
      </c>
      <c r="D43" t="inlineStr">
        <is>
          <t>スコープ外</t>
        </is>
      </c>
    </row>
    <row r="44">
      <c r="B44" t="inlineStr">
        <is>
          <t>ものづくり補助金</t>
        </is>
      </c>
      <c r="C44" t="inlineStr">
        <is>
          <t>本見積は補助金申請書類として使用可能</t>
        </is>
      </c>
      <c r="D44" t="inlineStr">
        <is>
          <t>対応済</t>
        </is>
      </c>
    </row>
  </sheetData>
  <mergeCells count="29">
    <mergeCell ref="C34:D34"/>
    <mergeCell ref="A23:D23"/>
    <mergeCell ref="C6:D6"/>
    <mergeCell ref="C24:D24"/>
    <mergeCell ref="A8:D8"/>
    <mergeCell ref="C33:D33"/>
    <mergeCell ref="C5:D5"/>
    <mergeCell ref="C14:D14"/>
    <mergeCell ref="C26:D26"/>
    <mergeCell ref="C4:D4"/>
    <mergeCell ref="C20:D20"/>
    <mergeCell ref="C10:D10"/>
    <mergeCell ref="C25:D25"/>
    <mergeCell ref="A30:D30"/>
    <mergeCell ref="C9:D9"/>
    <mergeCell ref="C31:D31"/>
    <mergeCell ref="A1:D1"/>
    <mergeCell ref="C12:D12"/>
    <mergeCell ref="C21:D21"/>
    <mergeCell ref="C11:D11"/>
    <mergeCell ref="C27:D27"/>
    <mergeCell ref="A16:D16"/>
    <mergeCell ref="C17:D17"/>
    <mergeCell ref="C32:D32"/>
    <mergeCell ref="A3:D3"/>
    <mergeCell ref="C19:D19"/>
    <mergeCell ref="C28:D28"/>
    <mergeCell ref="C13:D13"/>
    <mergeCell ref="C18:D18"/>
  </mergeCells>
  <pageMargins left="0.6" right="0.6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8" customHeight="1">
      <c r="A1" s="33" t="inlineStr">
        <is>
          <t>カテゴリ別集計</t>
        </is>
      </c>
    </row>
    <row r="2" ht="8" customHeight="1"/>
    <row r="3" ht="24" customHeight="1">
      <c r="A3" s="34" t="inlineStr">
        <is>
          <t>カテゴリ</t>
        </is>
      </c>
      <c r="B3" s="34" t="inlineStr">
        <is>
          <t>機能数</t>
        </is>
      </c>
      <c r="C3" s="34" t="inlineStr">
        <is>
          <t>AI
(MD)</t>
        </is>
      </c>
      <c r="D3" s="34" t="inlineStr">
        <is>
          <t>BE
(MD)</t>
        </is>
      </c>
      <c r="E3" s="34" t="inlineStr">
        <is>
          <t>FE
(MD)</t>
        </is>
      </c>
      <c r="F3" s="34" t="inlineStr">
        <is>
          <t>QA
(MD)</t>
        </is>
      </c>
      <c r="G3" s="34" t="inlineStr">
        <is>
          <t>合計
(MD)</t>
        </is>
      </c>
      <c r="H3" s="34" t="inlineStr">
        <is>
          <t>人月</t>
        </is>
      </c>
      <c r="I3" s="34" t="inlineStr">
        <is>
          <t>割合(%)</t>
        </is>
      </c>
    </row>
    <row r="4" ht="20" customHeight="1">
      <c r="A4" s="36" t="inlineStr">
        <is>
          <t>ダッシュボード</t>
        </is>
      </c>
      <c r="B4" s="58" t="n">
        <v>1</v>
      </c>
      <c r="C4" s="37" t="inlineStr"/>
      <c r="D4" s="37" t="n">
        <v>0.5</v>
      </c>
      <c r="E4" s="37" t="n">
        <v>1</v>
      </c>
      <c r="F4" s="37" t="n">
        <v>2</v>
      </c>
      <c r="G4" s="37" t="n">
        <v>3.5</v>
      </c>
      <c r="H4" s="37" t="n">
        <v>0.17</v>
      </c>
      <c r="I4" s="59" t="inlineStr">
        <is>
          <t>100%</t>
        </is>
      </c>
    </row>
    <row r="5" ht="20" customHeight="1">
      <c r="A5" s="45" t="inlineStr">
        <is>
          <t>ファイル管理</t>
        </is>
      </c>
      <c r="B5" s="60" t="n">
        <v>4</v>
      </c>
      <c r="C5" s="46" t="inlineStr"/>
      <c r="D5" s="46" t="n">
        <v>1.65</v>
      </c>
      <c r="E5" s="46" t="n">
        <v>2.6</v>
      </c>
      <c r="F5" s="46" t="n">
        <v>2</v>
      </c>
      <c r="G5" s="46" t="n">
        <v>6.25</v>
      </c>
      <c r="H5" s="46" t="n">
        <v>0.31</v>
      </c>
      <c r="I5" s="61" t="inlineStr">
        <is>
          <t>64%</t>
        </is>
      </c>
    </row>
    <row r="6" ht="20" customHeight="1">
      <c r="A6" s="42" t="inlineStr">
        <is>
          <t>AI文書生成</t>
        </is>
      </c>
      <c r="B6" s="62" t="n">
        <v>5</v>
      </c>
      <c r="C6" s="43" t="n">
        <v>28.5</v>
      </c>
      <c r="D6" s="43" t="n">
        <v>6.5</v>
      </c>
      <c r="E6" s="43" t="n">
        <v>5</v>
      </c>
      <c r="F6" s="43" t="n">
        <v>20</v>
      </c>
      <c r="G6" s="43" t="n">
        <v>60</v>
      </c>
      <c r="H6" s="43" t="n">
        <v>3</v>
      </c>
      <c r="I6" s="63" t="inlineStr">
        <is>
          <t>86%</t>
        </is>
      </c>
    </row>
    <row r="7" ht="20" customHeight="1">
      <c r="A7" s="42" t="inlineStr">
        <is>
          <t>AI設定</t>
        </is>
      </c>
      <c r="B7" s="62" t="n">
        <v>2</v>
      </c>
      <c r="C7" s="43" t="inlineStr"/>
      <c r="D7" s="43" t="n">
        <v>0.65</v>
      </c>
      <c r="E7" s="43" t="n">
        <v>0.6</v>
      </c>
      <c r="F7" s="43" t="n">
        <v>0.6</v>
      </c>
      <c r="G7" s="43" t="n">
        <v>1.85</v>
      </c>
      <c r="H7" s="43" t="n">
        <v>0.09</v>
      </c>
      <c r="I7" s="63" t="inlineStr">
        <is>
          <t>3%</t>
        </is>
      </c>
    </row>
    <row r="8" ht="20" customHeight="1">
      <c r="A8" s="36" t="inlineStr">
        <is>
          <t>設定</t>
        </is>
      </c>
      <c r="B8" s="58" t="n">
        <v>4</v>
      </c>
      <c r="C8" s="37" t="n">
        <v>13</v>
      </c>
      <c r="D8" s="37" t="n">
        <v>4</v>
      </c>
      <c r="E8" s="37" t="n">
        <v>3</v>
      </c>
      <c r="F8" s="37" t="n">
        <v>9</v>
      </c>
      <c r="G8" s="37" t="n">
        <v>29</v>
      </c>
      <c r="H8" s="37" t="n">
        <v>1.45</v>
      </c>
      <c r="I8" s="59" t="inlineStr">
        <is>
          <t>29%</t>
        </is>
      </c>
    </row>
    <row r="9" ht="20" customHeight="1">
      <c r="A9" s="36" t="inlineStr">
        <is>
          <t>お問合せ</t>
        </is>
      </c>
      <c r="B9" s="58" t="n">
        <v>1</v>
      </c>
      <c r="C9" s="37" t="n">
        <v>3.5</v>
      </c>
      <c r="D9" s="37" t="n">
        <v>0.5</v>
      </c>
      <c r="E9" s="37" t="n">
        <v>1</v>
      </c>
      <c r="F9" s="37" t="n">
        <v>3</v>
      </c>
      <c r="G9" s="37" t="n">
        <v>8</v>
      </c>
      <c r="H9" s="37" t="n">
        <v>0.4</v>
      </c>
      <c r="I9" s="59" t="inlineStr">
        <is>
          <t>7%</t>
        </is>
      </c>
    </row>
    <row r="10" ht="20" customHeight="1">
      <c r="A10" s="45" t="inlineStr">
        <is>
          <t>管理:認証</t>
        </is>
      </c>
      <c r="B10" s="60" t="n">
        <v>1</v>
      </c>
      <c r="C10" s="46" t="inlineStr"/>
      <c r="D10" s="46" t="inlineStr"/>
      <c r="E10" s="46" t="inlineStr"/>
      <c r="F10" s="46" t="inlineStr"/>
      <c r="G10" s="46" t="inlineStr"/>
      <c r="H10" s="46" t="inlineStr"/>
      <c r="I10" s="61" t="inlineStr">
        <is>
          <t>0%</t>
        </is>
      </c>
    </row>
    <row r="11" ht="20" customHeight="1">
      <c r="A11" s="45" t="inlineStr">
        <is>
          <t>管理:テナント</t>
        </is>
      </c>
      <c r="B11" s="60">
        <f>COUNTIF(詳細見積!$B$4:$B$40,"管理:テナント")</f>
        <v/>
      </c>
      <c r="C11" s="46">
        <f>SUMIF(詳細見積!$B$4:$B$40,"管理:テナント",詳細見積!$D$4:$D$40)</f>
        <v/>
      </c>
      <c r="D11" s="46">
        <f>SUMIF(詳細見積!$B$4:$B$40,"管理:テナント",詳細見積!$E$4:$E$40)</f>
        <v/>
      </c>
      <c r="E11" s="46">
        <f>SUMIF(詳細見積!$B$4:$B$40,"管理:テナント",詳細見積!$F$4:$F$40)</f>
        <v/>
      </c>
      <c r="F11" s="46">
        <f>SUMIF(詳細見積!$B$4:$B$40,"管理:テナント",詳細見積!$G$4:$G$40)</f>
        <v/>
      </c>
      <c r="G11" s="46">
        <f>C11+D11+E11+F11</f>
        <v/>
      </c>
      <c r="H11" s="46">
        <f>G11/20</f>
        <v/>
      </c>
      <c r="I11" s="61">
        <f>G11/G14</f>
        <v/>
      </c>
    </row>
    <row r="12" ht="20" customHeight="1">
      <c r="A12" s="45" t="inlineStr">
        <is>
          <t>管理:プラン</t>
        </is>
      </c>
      <c r="B12" s="60">
        <f>COUNTIF(詳細見積!$B$4:$B$40,"管理:プラン")</f>
        <v/>
      </c>
      <c r="C12" s="46">
        <f>SUMIF(詳細見積!$B$4:$B$40,"管理:プラン",詳細見積!$D$4:$D$40)</f>
        <v/>
      </c>
      <c r="D12" s="46">
        <f>SUMIF(詳細見積!$B$4:$B$40,"管理:プラン",詳細見積!$E$4:$E$40)</f>
        <v/>
      </c>
      <c r="E12" s="46">
        <f>SUMIF(詳細見積!$B$4:$B$40,"管理:プラン",詳細見積!$F$4:$F$40)</f>
        <v/>
      </c>
      <c r="F12" s="46">
        <f>SUMIF(詳細見積!$B$4:$B$40,"管理:プラン",詳細見積!$G$4:$G$40)</f>
        <v/>
      </c>
      <c r="G12" s="46">
        <f>C12+D12+E12+F12</f>
        <v/>
      </c>
      <c r="H12" s="46">
        <f>G12/20</f>
        <v/>
      </c>
      <c r="I12" s="61">
        <f>G12/G14</f>
        <v/>
      </c>
    </row>
    <row r="13" ht="6" customHeight="1"/>
    <row r="14" ht="24" customHeight="1">
      <c r="A14" s="47" t="inlineStr">
        <is>
          <t>合計</t>
        </is>
      </c>
      <c r="B14" s="64">
        <f>SUM(B4:B12)</f>
        <v/>
      </c>
      <c r="C14" s="49">
        <f>SUM(C4:C12)</f>
        <v/>
      </c>
      <c r="D14" s="49">
        <f>SUM(D4:D12)</f>
        <v/>
      </c>
      <c r="E14" s="49">
        <f>SUM(E4:E12)</f>
        <v/>
      </c>
      <c r="F14" s="49">
        <f>SUM(F4:F12)</f>
        <v/>
      </c>
      <c r="G14" s="49">
        <f>SUM(G4:G12)</f>
        <v/>
      </c>
      <c r="H14" s="49">
        <f>G14/20</f>
        <v/>
      </c>
      <c r="I14" s="65" t="inlineStr">
        <is>
          <t>100.0%</t>
        </is>
      </c>
    </row>
    <row r="16" ht="18" customHeight="1">
      <c r="A16" s="66" t="inlineStr">
        <is>
          <t>※ AI文書生成・AI設定 の合計工数が全体の約60-70%を占める（AIパイプライン複雑度による）</t>
        </is>
      </c>
    </row>
  </sheetData>
  <mergeCells count="2">
    <mergeCell ref="A1:I1"/>
    <mergeCell ref="A16:I16"/>
  </mergeCells>
  <pageMargins left="0.5" right="0.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  <col width="35" customWidth="1" min="5" max="5"/>
  </cols>
  <sheetData>
    <row r="1">
      <c r="A1" s="72" t="inlineStr">
        <is>
          <t>支払条件 — AiBoシステム開発</t>
        </is>
      </c>
      <c r="B1" s="72" t="inlineStr"/>
      <c r="C1" s="72" t="inlineStr"/>
      <c r="D1" s="72" t="inlineStr"/>
      <c r="E1" s="72" t="inlineStr"/>
    </row>
    <row r="2">
      <c r="A2" t="inlineStr"/>
      <c r="B2" t="inlineStr"/>
      <c r="C2" t="inlineStr"/>
      <c r="D2" t="inlineStr"/>
      <c r="E2" t="inlineStr"/>
    </row>
    <row r="3">
      <c r="A3" s="73" t="inlineStr">
        <is>
          <t>【Skrum様】支払スケジュール</t>
        </is>
      </c>
      <c r="B3" t="inlineStr"/>
      <c r="C3" t="inlineStr"/>
      <c r="D3" t="inlineStr"/>
      <c r="E3" t="inlineStr"/>
    </row>
    <row r="4">
      <c r="A4" s="73" t="inlineStr">
        <is>
          <t>回</t>
        </is>
      </c>
      <c r="B4" t="inlineStr">
        <is>
          <t>タイミング</t>
        </is>
      </c>
      <c r="C4" t="inlineStr">
        <is>
          <t>支払割合</t>
        </is>
      </c>
      <c r="D4" t="inlineStr">
        <is>
          <t>金額（税別）</t>
        </is>
      </c>
      <c r="E4" t="inlineStr">
        <is>
          <t>条件</t>
        </is>
      </c>
    </row>
    <row r="5">
      <c r="A5" t="inlineStr">
        <is>
          <t>1回目</t>
        </is>
      </c>
      <c r="B5" t="inlineStr">
        <is>
          <t>契約時</t>
        </is>
      </c>
      <c r="C5" t="inlineStr">
        <is>
          <t>30%</t>
        </is>
      </c>
      <c r="D5" t="inlineStr">
        <is>
          <t>¥2,940,000</t>
        </is>
      </c>
      <c r="E5" t="inlineStr">
        <is>
          <t>契約締後5営業日以内</t>
        </is>
      </c>
    </row>
    <row r="6">
      <c r="A6" t="inlineStr">
        <is>
          <t>2回目</t>
        </is>
      </c>
      <c r="B6" t="inlineStr">
        <is>
          <t>MS-04：全機能実装完了</t>
        </is>
      </c>
      <c r="C6" t="inlineStr">
        <is>
          <t>40%</t>
        </is>
      </c>
      <c r="D6" t="inlineStr">
        <is>
          <t>¥3,920,000</t>
        </is>
      </c>
      <c r="E6" t="inlineStr">
        <is>
          <t>コードFIX完了確認後5営業日以内</t>
        </is>
      </c>
    </row>
    <row r="7">
      <c r="A7" t="inlineStr">
        <is>
          <t>3回目</t>
        </is>
      </c>
      <c r="B7" t="inlineStr">
        <is>
          <t>MS-07：受入テスト完了・納品</t>
        </is>
      </c>
      <c r="C7" t="inlineStr">
        <is>
          <t>30%</t>
        </is>
      </c>
      <c r="D7" t="inlineStr">
        <is>
          <t>¥2,940,000</t>
        </is>
      </c>
      <c r="E7" t="inlineStr">
        <is>
          <t>UAT完了・納品物引渡後5営業日以内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合計</t>
        </is>
      </c>
      <c r="B9" t="inlineStr"/>
      <c r="C9" t="inlineStr">
        <is>
          <t>100%</t>
        </is>
      </c>
      <c r="D9" t="inlineStr">
        <is>
          <t>¥9,800,000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【Skrum様】提供事項</t>
        </is>
      </c>
      <c r="B11" t="inlineStr"/>
      <c r="C11" t="inlineStr"/>
      <c r="D11" t="inlineStr"/>
      <c r="E11" t="inlineStr"/>
    </row>
    <row r="12">
      <c r="A12" s="73" t="inlineStr">
        <is>
          <t>項目</t>
        </is>
      </c>
      <c r="B12" t="inlineStr">
        <is>
          <t>内容</t>
        </is>
      </c>
      <c r="C12" t="inlineStr">
        <is>
          <t>期限</t>
        </is>
      </c>
      <c r="D12" t="inlineStr"/>
      <c r="E12" t="inlineStr"/>
    </row>
    <row r="13">
      <c r="A13" t="inlineStr">
        <is>
          <t>GT（模範文書）</t>
        </is>
      </c>
      <c r="B13" t="inlineStr">
        <is>
          <t>提案書・見積書・請求書 各5〜10件</t>
        </is>
      </c>
      <c r="C13" t="inlineStr">
        <is>
          <t>契約後30日以内</t>
        </is>
      </c>
      <c r="D13" t="inlineStr"/>
      <c r="E13" t="inlineStr"/>
    </row>
    <row r="14">
      <c r="A14" t="inlineStr">
        <is>
          <t>Figmaデザイン</t>
        </is>
      </c>
      <c r="B14" t="inlineStr">
        <is>
          <t>確定版画面デザイン</t>
        </is>
      </c>
      <c r="C14" t="inlineStr">
        <is>
          <t>開発開始1週間前</t>
        </is>
      </c>
      <c r="D14" t="inlineStr"/>
      <c r="E14" t="inlineStr"/>
    </row>
    <row r="15">
      <c r="A15" t="inlineStr">
        <is>
          <t>テストデータ</t>
        </is>
      </c>
      <c r="B15" t="inlineStr">
        <is>
          <t>各機能のテスト用データ</t>
        </is>
      </c>
      <c r="C15" t="inlineStr">
        <is>
          <t>結合試験開始時</t>
        </is>
      </c>
      <c r="D15" t="inlineStr"/>
      <c r="E15" t="inlineStr"/>
    </row>
    <row r="16">
      <c r="A16" t="inlineStr">
        <is>
          <t>※ ものづくり補助金申請用として本見積をご利用いただけます。</t>
        </is>
      </c>
      <c r="B16" t="inlineStr">
        <is>
          <t>UAT実施環境（Web）</t>
        </is>
      </c>
      <c r="C16" t="inlineStr">
        <is>
          <t>UAT開始時</t>
        </is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※ 支払は銀行振込。振込手数料はSkrum様負担。</t>
        </is>
      </c>
      <c r="B18" t="inlineStr"/>
      <c r="C18" t="inlineStr"/>
      <c r="D18" t="inlineStr"/>
      <c r="E18" t="inlineStr"/>
    </row>
    <row r="19">
      <c r="A19" t="inlineStr">
        <is>
          <t>※ ものづくり補助金申請用として本見積をご利用いただけます。</t>
        </is>
      </c>
      <c r="B19" t="inlineStr"/>
      <c r="C19" t="inlineStr"/>
      <c r="D19" t="inlineStr"/>
      <c r="E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 ht="28" customHeight="1">
      <c r="A1" s="33" t="inlineStr">
        <is>
          <t>プロジェクトスケジュール — S3シナリオ（推奨：9.8MM、約5ヶ月）</t>
        </is>
      </c>
    </row>
    <row r="2" ht="8" customHeight="1">
      <c r="A2" t="inlineStr">
        <is>
          <t>プロジェクトスケジュール — Skrum様 AiBo (S3)</t>
        </is>
      </c>
    </row>
    <row r="3" ht="22" customHeight="1">
      <c r="A3" s="13" t="inlineStr">
        <is>
          <t>フェーズ</t>
        </is>
      </c>
      <c r="B3" s="13" t="inlineStr">
        <is>
          <t>開始</t>
        </is>
      </c>
      <c r="C3" s="13" t="inlineStr">
        <is>
          <t>終了</t>
        </is>
      </c>
      <c r="D3" s="13" t="inlineStr">
        <is>
          <t>期間</t>
        </is>
      </c>
      <c r="E3" s="13" t="inlineStr">
        <is>
          <t>備考</t>
        </is>
      </c>
    </row>
    <row r="4" ht="20" customHeight="1">
      <c r="A4" s="67" t="inlineStr">
        <is>
          <t>要件定義</t>
        </is>
      </c>
      <c r="B4" s="27" t="inlineStr">
        <is>
          <t>M1 W1</t>
        </is>
      </c>
      <c r="C4" s="27" t="inlineStr">
        <is>
          <t>M1 W3</t>
        </is>
      </c>
      <c r="D4" s="27" t="inlineStr">
        <is>
          <t>3週間</t>
        </is>
      </c>
      <c r="E4" s="67" t="inlineStr">
        <is>
          <t>ヒアリング・スコープ確定・要件書作成</t>
        </is>
      </c>
    </row>
    <row r="5" ht="20" customHeight="1">
      <c r="A5" s="67" t="inlineStr">
        <is>
          <t>基本設計</t>
        </is>
      </c>
      <c r="B5" s="27" t="inlineStr">
        <is>
          <t>M1 W3</t>
        </is>
      </c>
      <c r="C5" s="27" t="inlineStr">
        <is>
          <t>M2 W2</t>
        </is>
      </c>
      <c r="D5" s="27" t="inlineStr">
        <is>
          <t>3週間</t>
        </is>
      </c>
      <c r="E5" s="67" t="inlineStr">
        <is>
          <t>アーキテクチャ・画面設計・API設計</t>
        </is>
      </c>
    </row>
    <row r="6" ht="20" customHeight="1">
      <c r="A6" s="67" t="inlineStr">
        <is>
          <t>詳細設計</t>
        </is>
      </c>
      <c r="B6" s="27" t="inlineStr">
        <is>
          <t>M2 W2</t>
        </is>
      </c>
      <c r="C6" s="27" t="inlineStr">
        <is>
          <t>M3 W1</t>
        </is>
      </c>
      <c r="D6" s="27" t="inlineStr">
        <is>
          <t>3週間</t>
        </is>
      </c>
      <c r="E6" s="67" t="inlineStr">
        <is>
          <t>DB設計・詳細仕様・インターフェース定義</t>
        </is>
      </c>
    </row>
    <row r="7" ht="20" customHeight="1">
      <c r="A7" s="16" t="inlineStr">
        <is>
          <t>製造（Sprint 1）</t>
        </is>
      </c>
      <c r="B7" s="15" t="inlineStr">
        <is>
          <t>M3 W1</t>
        </is>
      </c>
      <c r="C7" s="15" t="inlineStr">
        <is>
          <t>M3 W3</t>
        </is>
      </c>
      <c r="D7" s="15" t="inlineStr">
        <is>
          <t>2週間</t>
        </is>
      </c>
      <c r="E7" s="16" t="inlineStr">
        <is>
          <t>ダッシュボード・認証・ファイル管理基盤</t>
        </is>
      </c>
    </row>
    <row r="8" ht="20" customHeight="1">
      <c r="A8" s="16" t="inlineStr">
        <is>
          <t>製造（Sprint 2）</t>
        </is>
      </c>
      <c r="B8" s="15" t="inlineStr">
        <is>
          <t>M3 W3</t>
        </is>
      </c>
      <c r="C8" s="15" t="inlineStr">
        <is>
          <t>M4 W2</t>
        </is>
      </c>
      <c r="D8" s="15" t="inlineStr">
        <is>
          <t>2週間</t>
        </is>
      </c>
      <c r="E8" s="16" t="inlineStr">
        <is>
          <t>AI文書生成コア（提案書・見積書）</t>
        </is>
      </c>
    </row>
    <row r="9" ht="20" customHeight="1">
      <c r="A9" s="16" t="inlineStr">
        <is>
          <t>製造（Sprint 3）</t>
        </is>
      </c>
      <c r="B9" s="15" t="inlineStr">
        <is>
          <t>M4 W2</t>
        </is>
      </c>
      <c r="C9" s="15" t="inlineStr">
        <is>
          <t>M5 W1</t>
        </is>
      </c>
      <c r="D9" s="15" t="inlineStr">
        <is>
          <t>3週間</t>
        </is>
      </c>
      <c r="E9" s="16" t="inlineStr">
        <is>
          <t>競合分析・AIテンプレート・マーケット</t>
        </is>
      </c>
    </row>
    <row r="10" ht="20" customHeight="1">
      <c r="A10" s="16" t="inlineStr">
        <is>
          <t>製造（Sprint 4）</t>
        </is>
      </c>
      <c r="B10" s="15" t="inlineStr">
        <is>
          <t>M5 W1</t>
        </is>
      </c>
      <c r="C10" s="15" t="inlineStr">
        <is>
          <t>M5 W2</t>
        </is>
      </c>
      <c r="D10" s="15" t="inlineStr">
        <is>
          <t>1週間</t>
        </is>
      </c>
      <c r="E10" s="16" t="inlineStr">
        <is>
          <t>管理機能・設定・バグ修正</t>
        </is>
      </c>
    </row>
    <row r="11" ht="20" customHeight="1">
      <c r="A11" s="68" t="inlineStr">
        <is>
          <t>単体試験</t>
        </is>
      </c>
      <c r="B11" s="69" t="inlineStr">
        <is>
          <t>M4 W1</t>
        </is>
      </c>
      <c r="C11" s="69" t="inlineStr">
        <is>
          <t>M5 W3</t>
        </is>
      </c>
      <c r="D11" s="69" t="inlineStr">
        <is>
          <t>並行</t>
        </is>
      </c>
      <c r="E11" s="68" t="inlineStr">
        <is>
          <t>開発と並行実施（自動テスト + レビュー）</t>
        </is>
      </c>
    </row>
    <row r="12" ht="20" customHeight="1">
      <c r="A12" s="68" t="inlineStr">
        <is>
          <t>結合試験</t>
        </is>
      </c>
      <c r="B12" s="69" t="inlineStr">
        <is>
          <t>M5 W3</t>
        </is>
      </c>
      <c r="C12" s="69" t="inlineStr">
        <is>
          <t>M6 W2</t>
        </is>
      </c>
      <c r="D12" s="69" t="inlineStr">
        <is>
          <t>3週間</t>
        </is>
      </c>
      <c r="E12" s="68" t="inlineStr">
        <is>
          <t>シナリオテスト・APIテスト・負荷テスト</t>
        </is>
      </c>
    </row>
    <row r="13" ht="20" customHeight="1">
      <c r="A13" s="70" t="inlineStr">
        <is>
          <t>受入テスト支援</t>
        </is>
      </c>
      <c r="B13" s="71" t="inlineStr">
        <is>
          <t>M6 W2</t>
        </is>
      </c>
      <c r="C13" s="71" t="inlineStr">
        <is>
          <t>M6 W4</t>
        </is>
      </c>
      <c r="D13" s="71" t="inlineStr">
        <is>
          <t>2週間</t>
        </is>
      </c>
      <c r="E13" s="70" t="inlineStr">
        <is>
          <t>UAT支援・不具合対応・リリース準備</t>
        </is>
      </c>
    </row>
    <row r="14" ht="8" customHeight="1"/>
    <row r="15" ht="22" customHeight="1">
      <c r="A15" s="56" t="inlineStr">
        <is>
          <t>主要マイルストーン</t>
        </is>
      </c>
      <c r="B15" s="30" t="n"/>
      <c r="C15" s="30" t="n"/>
      <c r="D15" s="30" t="n"/>
      <c r="E15" s="31" t="n"/>
    </row>
    <row r="16" ht="20" customHeight="1">
      <c r="A16" s="27" t="inlineStr">
        <is>
          <t>MS-01</t>
        </is>
      </c>
      <c r="B16" s="35" t="inlineStr">
        <is>
          <t>M1 W4</t>
        </is>
      </c>
      <c r="C16" s="36" t="inlineStr">
        <is>
          <t>要件定義完了・スコープFIX</t>
        </is>
      </c>
      <c r="D16" s="31" t="n"/>
      <c r="E16" s="36" t="inlineStr"/>
    </row>
    <row r="17" ht="20" customHeight="1">
      <c r="A17" s="27" t="inlineStr">
        <is>
          <t>MS-02</t>
        </is>
      </c>
      <c r="B17" s="35" t="inlineStr">
        <is>
          <t>M2 W4</t>
        </is>
      </c>
      <c r="C17" s="36" t="inlineStr">
        <is>
          <t>基本設計完了・画面FIX</t>
        </is>
      </c>
      <c r="D17" s="31" t="n"/>
      <c r="E17" s="36" t="inlineStr"/>
    </row>
    <row r="18" ht="20" customHeight="1">
      <c r="A18" s="27" t="inlineStr">
        <is>
          <t>MS-03</t>
        </is>
      </c>
      <c r="B18" s="35" t="inlineStr">
        <is>
          <t>M3 W4</t>
        </is>
      </c>
      <c r="C18" s="36" t="inlineStr">
        <is>
          <t>詳細設計完了・DB FIX</t>
        </is>
      </c>
      <c r="D18" s="31" t="n"/>
      <c r="E18" s="36" t="inlineStr"/>
    </row>
    <row r="19" ht="20" customHeight="1">
      <c r="A19" s="27" t="inlineStr">
        <is>
          <t>MS-04</t>
        </is>
      </c>
      <c r="B19" s="35" t="inlineStr">
        <is>
          <t>M5 W2</t>
        </is>
      </c>
      <c r="C19" s="36" t="inlineStr">
        <is>
          <t>全機能実装完了（コードFIX）</t>
        </is>
      </c>
      <c r="D19" s="31" t="n"/>
      <c r="E19" s="36" t="inlineStr"/>
    </row>
    <row r="20" ht="20" customHeight="1">
      <c r="A20" s="27" t="inlineStr">
        <is>
          <t>MS-05</t>
        </is>
      </c>
      <c r="B20" s="35" t="inlineStr">
        <is>
          <t>M5 W4</t>
        </is>
      </c>
      <c r="C20" s="36" t="inlineStr">
        <is>
          <t>単体試験完了</t>
        </is>
      </c>
      <c r="D20" s="31" t="n"/>
      <c r="E20" s="36" t="inlineStr"/>
    </row>
    <row r="21" ht="20" customHeight="1">
      <c r="A21" s="27" t="inlineStr">
        <is>
          <t>MS-06</t>
        </is>
      </c>
      <c r="B21" s="35" t="inlineStr">
        <is>
          <t>M6 W3</t>
        </is>
      </c>
      <c r="C21" s="36" t="inlineStr">
        <is>
          <t>結合試験完了・本番候補リリース</t>
        </is>
      </c>
      <c r="D21" s="31" t="n"/>
      <c r="E21" s="36" t="inlineStr"/>
    </row>
    <row r="22" ht="20" customHeight="1">
      <c r="A22" s="27" t="inlineStr">
        <is>
          <t>MS-07</t>
        </is>
      </c>
      <c r="B22" s="35" t="inlineStr">
        <is>
          <t>M6 W4</t>
        </is>
      </c>
      <c r="C22" s="36" t="inlineStr">
        <is>
          <t>受入テスト完了・納品</t>
        </is>
      </c>
      <c r="D22" s="31" t="n"/>
      <c r="E22" s="36" t="inlineStr">
        <is>
          <t>★最終マイルストーン</t>
        </is>
      </c>
    </row>
    <row r="23" ht="8" customHeight="1"/>
    <row r="24" ht="18" customHeight="1">
      <c r="A24" s="66" t="inlineStr">
        <is>
          <t>※ M = 着手月（プロジェクト開始月を M1 とする相対表記）。W = 週。</t>
        </is>
      </c>
    </row>
    <row r="25" ht="18" customHeight="1">
      <c r="A25" s="66" t="inlineStr">
        <is>
          <t>※ S3シナリオ前提：2〜3名チーム（FE×1 + BE/AI×1 + QA×0.5 + PM×0.5）</t>
        </is>
      </c>
    </row>
    <row r="26" ht="18" customHeight="1">
      <c r="A26" s="66" t="inlineStr">
        <is>
          <t>※ 製造フェーズはアジャイル（2週スプリント）で進行。スプリントごとにデモを実施。</t>
        </is>
      </c>
    </row>
    <row r="27" ht="18" customHeight="1">
      <c r="A27" s="66" t="inlineStr">
        <is>
          <t>※ 着手日確定後、Mを実際の暦日付に変換した詳細ガントチャートを提出可能。</t>
        </is>
      </c>
    </row>
    <row r="28">
      <c r="A28" t="inlineStr">
        <is>
          <t>※ チーム構成：平均1.7名（FE×0.6 + BE/AI×0.8 + QA×0.3 + PM×0.5）</t>
        </is>
      </c>
    </row>
    <row r="29">
      <c r="A29" t="inlineStr">
        <is>
          <t>※ ピーク時：製造フェーズで最大2.5名（FE×1 + BE/AI×1 + QA×0.5）</t>
        </is>
      </c>
    </row>
  </sheetData>
  <mergeCells count="13">
    <mergeCell ref="C20:D20"/>
    <mergeCell ref="C21:D21"/>
    <mergeCell ref="C16:D16"/>
    <mergeCell ref="A26:E26"/>
    <mergeCell ref="A24:E24"/>
    <mergeCell ref="A15:E15"/>
    <mergeCell ref="A25:E25"/>
    <mergeCell ref="C19:D19"/>
    <mergeCell ref="A1:E1"/>
    <mergeCell ref="C22:D22"/>
    <mergeCell ref="C18:D18"/>
    <mergeCell ref="C17:D17"/>
    <mergeCell ref="A27:E27"/>
  </mergeCells>
  <pageMargins left="0.5" right="0.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2026-04-01T08:44:03Z</dcterms:created>
  <dcterms:modified xmlns:dcterms="http://purl.org/dc/terms/" xmlns:xsi="http://www.w3.org/2001/XMLSchema-instance" xsi:type="dcterms:W3CDTF">2026-04-02T12:39:57Z</dcterms:modified>
</cp:coreProperties>
</file>