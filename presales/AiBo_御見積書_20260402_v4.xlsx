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概算見積" sheetId="2" state="visible" r:id="rId2"/>
    <sheet xmlns:r="http://schemas.openxmlformats.org/officeDocument/2006/relationships" name="詳細見積" sheetId="3" state="visible" r:id="rId3"/>
    <sheet xmlns:r="http://schemas.openxmlformats.org/officeDocument/2006/relationships" name="She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sz val="16"/>
    </font>
    <font>
      <name val="Meiryo"/>
      <sz val="12"/>
    </font>
    <font>
      <name val="Meiryo"/>
      <b val="1"/>
      <sz val="14"/>
    </font>
    <font>
      <name val="Meiro"/>
      <b val="1"/>
      <sz val="10"/>
    </font>
    <font>
      <name val="Meiryo"/>
      <b val="1"/>
      <sz val="10"/>
    </font>
    <font>
      <name val="Meiryo"/>
      <b val="1"/>
      <sz val="12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  <fill>
      <patternFill patternType="solid">
        <fgColor rgb="00FFF4E6"/>
        <bgColor rgb="00FFF4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5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8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御  見  積 書</t>
        </is>
      </c>
    </row>
    <row r="4">
      <c r="B4" t="inlineStr">
        <is>
          <t>見積番号</t>
        </is>
      </c>
      <c r="D4" t="inlineStr">
        <is>
          <t>FSW-2026-1595-001</t>
        </is>
      </c>
    </row>
    <row r="5">
      <c r="B5" t="inlineStr">
        <is>
          <t>発行日</t>
        </is>
      </c>
      <c r="D5" t="inlineStr">
        <is>
          <t>2026年04月02日</t>
        </is>
      </c>
    </row>
    <row r="6">
      <c r="B6" t="inlineStr">
        <is>
          <t>有効期限</t>
        </is>
      </c>
      <c r="D6" t="inlineStr">
        <is>
          <t>発行日より30日間有効</t>
        </is>
      </c>
    </row>
    <row r="8">
      <c r="B8" s="2" t="inlineStr">
        <is>
          <t>株式会社Skrum　御中</t>
        </is>
      </c>
    </row>
    <row r="9">
      <c r="B9" s="2" t="inlineStr">
        <is>
          <t>下記の通り御見積申し上げます。</t>
        </is>
      </c>
    </row>
    <row r="11">
      <c r="B11" s="2" t="inlineStr">
        <is>
          <t>件名：　AiBoシステム開発</t>
        </is>
      </c>
    </row>
    <row r="13">
      <c r="B13" t="inlineStr">
        <is>
          <t>概算見積額（税別）</t>
        </is>
      </c>
    </row>
    <row r="14">
      <c r="B14" s="3">
        <f>HYPERLINK("#概算見積!D13", "S3: ¥" &amp; TEXT(概算見積!D13,"#,##0") &amp; " ～ S4: ¥" &amp; TEXT(概算見積!G13,"#,##0"))</f>
        <v/>
      </c>
    </row>
    <row r="16">
      <c r="B16" t="inlineStr">
        <is>
          <t>シナリオ</t>
        </is>
      </c>
      <c r="C16" t="inlineStr">
        <is>
          <t>説明</t>
        </is>
      </c>
      <c r="D16" t="inlineStr">
        <is>
          <t>概算額（税別）</t>
        </is>
      </c>
      <c r="E16" t="inlineStr">
        <is>
          <t>GT責任</t>
        </is>
      </c>
    </row>
    <row r="17">
      <c r="B17" t="inlineStr">
        <is>
          <t>S3</t>
        </is>
      </c>
      <c r="C17" t="inlineStr">
        <is>
          <t>Fabbi:全+HITL 80%</t>
        </is>
      </c>
      <c r="D17">
        <f>概算見積!D13</f>
        <v/>
      </c>
      <c r="E17" t="inlineStr">
        <is>
          <t>Fabbi</t>
        </is>
      </c>
    </row>
    <row r="18">
      <c r="B18" t="inlineStr">
        <is>
          <t>S4</t>
        </is>
      </c>
      <c r="C18" t="inlineStr">
        <is>
          <t>Fabbi:全 90%純AI</t>
        </is>
      </c>
      <c r="D18">
        <f>概算見積!E13</f>
        <v/>
      </c>
      <c r="E18" t="inlineStr">
        <is>
          <t>Fabbi</t>
        </is>
      </c>
    </row>
  </sheetData>
  <mergeCells count="5">
    <mergeCell ref="B2:F2"/>
    <mergeCell ref="B11:F11"/>
    <mergeCell ref="B14:F14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5" customWidth="1" min="3" max="3"/>
    <col width="15" customWidth="1" min="4" max="4"/>
    <col width="15" customWidth="1" min="5" max="5"/>
    <col width="30" customWidth="1" min="6" max="6"/>
  </cols>
  <sheetData>
    <row r="1">
      <c r="A1" s="4" t="inlineStr">
        <is>
          <t>概算見積書　— シナリオ比較</t>
        </is>
      </c>
    </row>
    <row r="2">
      <c r="A2" t="inlineStr">
        <is>
          <t>【Skrum様】AiBoシステム</t>
        </is>
      </c>
    </row>
    <row r="3">
      <c r="A3" s="5" t="inlineStr">
        <is>
          <t>工程</t>
        </is>
      </c>
      <c r="B3" s="5" t="inlineStr">
        <is>
          <t>S3（9.8MM）</t>
        </is>
      </c>
      <c r="C3" s="5" t="inlineStr">
        <is>
          <t>S4（11.5MM）</t>
        </is>
      </c>
      <c r="D3" s="5" t="inlineStr">
        <is>
          <t>備考</t>
        </is>
      </c>
    </row>
    <row r="4">
      <c r="A4" t="inlineStr">
        <is>
          <t>要件定義・基本設計（10%）</t>
        </is>
      </c>
      <c r="B4">
        <f>詳細見積!H28*0.1</f>
        <v/>
      </c>
      <c r="C4">
        <f>詳細見積!H28*0.1</f>
        <v/>
      </c>
      <c r="E4" t="inlineStr">
        <is>
          <t>スコープ確定・画面設計</t>
        </is>
      </c>
    </row>
    <row r="5">
      <c r="A5" t="inlineStr">
        <is>
          <t>詳細設計（15%）</t>
        </is>
      </c>
      <c r="B5">
        <f>詳細見積!H28*0.15</f>
        <v/>
      </c>
      <c r="C5">
        <f>詳細見積!H28*0.15</f>
        <v/>
      </c>
      <c r="E5" t="inlineStr">
        <is>
          <t>API設計・DB設計</t>
        </is>
      </c>
    </row>
    <row r="6">
      <c r="A6" t="inlineStr">
        <is>
          <t>製造（S3:AI80% / S4:AI90%）</t>
        </is>
      </c>
      <c r="B6">
        <f>SUM(詳細見積!D4:D22, 詳細見積!F4:F22, 詳細見積!G4:G22, 詳細見積!H4:H22)</f>
        <v/>
      </c>
      <c r="C6">
        <f>SUM(詳細見積!E4:E22, 詳細見積!F4:F22, 詳細見積!G4:G22, 詳細見積!H4:H22)</f>
        <v/>
      </c>
      <c r="E6" t="inlineStr">
        <is>
          <t>最大工数フェーズ</t>
        </is>
      </c>
    </row>
    <row r="7">
      <c r="A7" t="inlineStr">
        <is>
          <t>単体試験（15%）</t>
        </is>
      </c>
      <c r="B7">
        <f>SUM(詳細見積!H4:H22)*0.15</f>
        <v/>
      </c>
      <c r="C7">
        <f>SUM(詳細見積!H4:H22)*0.15</f>
        <v/>
      </c>
      <c r="E7" t="inlineStr">
        <is>
          <t>UT・機能確認</t>
        </is>
      </c>
    </row>
    <row r="8">
      <c r="A8" t="inlineStr">
        <is>
          <t>結合試験（10%）</t>
        </is>
      </c>
      <c r="B8">
        <f>SUM(詳細見積!H4:H22)*0.1</f>
        <v/>
      </c>
      <c r="C8">
        <f>SUM(詳細見積!H4:H22)*0.1</f>
        <v/>
      </c>
      <c r="E8" t="inlineStr">
        <is>
          <t>IT・シナリオテスト</t>
        </is>
      </c>
    </row>
    <row r="9">
      <c r="A9" t="inlineStr">
        <is>
          <t>PM / BrSE（10%）</t>
        </is>
      </c>
      <c r="B9">
        <f>SUM(詳細見積!H4:H22)*0.1</f>
        <v/>
      </c>
      <c r="C9">
        <f>SUM(詳細見積!H4:H22)*0.1</f>
        <v/>
      </c>
      <c r="E9" t="inlineStr">
        <is>
          <t>進捗管理・橋渡し</t>
        </is>
      </c>
    </row>
    <row r="13">
      <c r="A13" s="6" t="inlineStr">
        <is>
          <t>合計（概算・税別）</t>
        </is>
      </c>
      <c r="D13">
        <f>SUM(D4:D12)</f>
        <v/>
      </c>
      <c r="E13">
        <f>SUM(E4:E12)</f>
        <v/>
      </c>
    </row>
    <row r="15">
      <c r="A15" s="6" t="inlineStr">
        <is>
          <t>概算金額（税別）</t>
        </is>
      </c>
      <c r="D15">
        <f>D13*1200000</f>
        <v/>
      </c>
      <c r="E15">
        <f>E13*1200000</f>
        <v/>
      </c>
    </row>
    <row r="18">
      <c r="A18" s="6" t="inlineStr">
        <is>
          <t>シナリオ説明</t>
        </is>
      </c>
    </row>
    <row r="19">
      <c r="A19" t="inlineStr">
        <is>
          <t>S3</t>
        </is>
      </c>
      <c r="B19" t="inlineStr">
        <is>
          <t>Fabbi全担当（AI+BE+FE）。HITL（人間確認ループ）80%で品質保証。★★最推奨</t>
        </is>
      </c>
    </row>
    <row r="20">
      <c r="A20" t="inlineStr">
        <is>
          <t>S4</t>
        </is>
      </c>
      <c r="B20" t="inlineStr">
        <is>
          <t>Fabbi全担当。90%純AI化（HITL最小）。高速だが精度リスクあり。追加QA必要</t>
        </is>
      </c>
    </row>
    <row r="21">
      <c r="A21" t="inlineStr">
        <is>
          <t>GT</t>
        </is>
      </c>
      <c r="B21" t="inlineStr">
        <is>
          <t>GT（Ground Truth）= 提案書・見積書・請求書の模範文書。Skrum様よりご提供</t>
        </is>
      </c>
    </row>
    <row r="22">
      <c r="A22" t="inlineStr">
        <is>
          <t>HITL</t>
        </is>
      </c>
      <c r="B22" t="inlineStr">
        <is>
          <t>HITL = Human-In-The-Loop。AI出力を人間が確認・修正するプロセス。80%=20件中16件確認</t>
        </is>
      </c>
    </row>
  </sheetData>
  <mergeCells count="6">
    <mergeCell ref="B21:F21"/>
    <mergeCell ref="A2:F2"/>
    <mergeCell ref="B20:F20"/>
    <mergeCell ref="A1:F1"/>
    <mergeCell ref="B19:F19"/>
    <mergeCell ref="B22:F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25" customWidth="1" min="9" max="9"/>
  </cols>
  <sheetData>
    <row r="1">
      <c r="A1" s="7" t="inlineStr">
        <is>
          <t>詳細見積書（WBSレベル）— AiBoシステム開発</t>
        </is>
      </c>
    </row>
    <row r="3">
      <c r="A3" s="8" t="inlineStr">
        <is>
          <t>WBS ID</t>
        </is>
      </c>
      <c r="B3" s="8" t="inlineStr">
        <is>
          <t>カテゴリ</t>
        </is>
      </c>
      <c r="C3" s="8" t="inlineStr">
        <is>
          <t>機能名</t>
        </is>
      </c>
      <c r="D3" s="8" t="inlineStr">
        <is>
          <t>AI80%(MD)</t>
        </is>
      </c>
      <c r="E3" s="8" t="inlineStr">
        <is>
          <t>AI90%(MD)</t>
        </is>
      </c>
      <c r="F3" s="8" t="inlineStr">
        <is>
          <t>BE(MD)</t>
        </is>
      </c>
      <c r="G3" s="8" t="inlineStr">
        <is>
          <t>FE(MD)</t>
        </is>
      </c>
      <c r="H3" s="8" t="inlineStr">
        <is>
          <t>QA(MD)</t>
        </is>
      </c>
      <c r="I3" s="8" t="inlineStr">
        <is>
          <t>備考</t>
        </is>
      </c>
    </row>
    <row r="4">
      <c r="A4" t="inlineStr">
        <is>
          <t>AIBO-001</t>
        </is>
      </c>
      <c r="B4" t="inlineStr">
        <is>
          <t>ダッシュボード</t>
        </is>
      </c>
      <c r="C4" t="inlineStr">
        <is>
          <t>ダッシュボード</t>
        </is>
      </c>
      <c r="D4" t="n">
        <v>0</v>
      </c>
      <c r="E4" t="n">
        <v>0</v>
      </c>
      <c r="F4" t="n">
        <v>0.5</v>
      </c>
      <c r="G4" t="n">
        <v>1</v>
      </c>
      <c r="H4" t="n">
        <v>2</v>
      </c>
      <c r="I4" t="inlineStr">
        <is>
          <t>Figma: Dashboard.tsx</t>
        </is>
      </c>
    </row>
    <row r="5">
      <c r="A5" t="inlineStr">
        <is>
          <t>AIBO-002</t>
        </is>
      </c>
      <c r="B5" t="inlineStr">
        <is>
          <t>ファイル管理</t>
        </is>
      </c>
      <c r="C5" t="inlineStr">
        <is>
          <t>ファイルアップロード</t>
        </is>
      </c>
      <c r="D5" t="n">
        <v>0</v>
      </c>
      <c r="E5" t="n">
        <v>0</v>
      </c>
      <c r="F5" t="n">
        <v>0.5</v>
      </c>
      <c r="G5" t="n">
        <v>0.5</v>
      </c>
      <c r="H5" t="n">
        <v>0.4</v>
      </c>
      <c r="I5" t="inlineStr">
        <is>
          <t>Figma: FileUpload.tsx</t>
        </is>
      </c>
    </row>
    <row r="6">
      <c r="A6" t="inlineStr">
        <is>
          <t>AIBO-003</t>
        </is>
      </c>
      <c r="B6" t="inlineStr">
        <is>
          <t>ファイル管理</t>
        </is>
      </c>
      <c r="C6" t="inlineStr">
        <is>
          <t>ファイル一覧・並替</t>
        </is>
      </c>
      <c r="D6" t="n">
        <v>0</v>
      </c>
      <c r="E6" t="n">
        <v>0</v>
      </c>
      <c r="F6" t="n">
        <v>0.5</v>
      </c>
      <c r="G6" t="n">
        <v>1.5</v>
      </c>
      <c r="H6" t="n">
        <v>1</v>
      </c>
      <c r="I6" t="inlineStr">
        <is>
          <t>Figma: FileView.tsx</t>
        </is>
      </c>
    </row>
    <row r="7">
      <c r="A7" t="inlineStr">
        <is>
          <t>AIBO-004</t>
        </is>
      </c>
      <c r="B7" t="inlineStr">
        <is>
          <t>ファイル管理</t>
        </is>
      </c>
      <c r="C7" t="inlineStr">
        <is>
          <t>ファイル削除</t>
        </is>
      </c>
      <c r="D7" t="n">
        <v>0</v>
      </c>
      <c r="E7" t="n">
        <v>0</v>
      </c>
      <c r="F7" t="n">
        <v>0.15</v>
      </c>
      <c r="G7" t="n">
        <v>0.1</v>
      </c>
      <c r="H7" t="n">
        <v>0.1</v>
      </c>
      <c r="I7" t="inlineStr"/>
    </row>
    <row r="8">
      <c r="A8" t="inlineStr">
        <is>
          <t>AIBO-005</t>
        </is>
      </c>
      <c r="B8" t="inlineStr">
        <is>
          <t>ファイル管理</t>
        </is>
      </c>
      <c r="C8" t="inlineStr">
        <is>
          <t>ファイルダウンロード</t>
        </is>
      </c>
      <c r="D8" t="n">
        <v>0</v>
      </c>
      <c r="E8" t="n">
        <v>0</v>
      </c>
      <c r="F8" t="n">
        <v>0.5</v>
      </c>
      <c r="G8" t="n">
        <v>0.5</v>
      </c>
      <c r="H8" t="n">
        <v>0.5</v>
      </c>
      <c r="I8" t="inlineStr"/>
    </row>
    <row r="9">
      <c r="A9" s="9" t="inlineStr">
        <is>
          <t>AIBO-006</t>
        </is>
      </c>
      <c r="B9" s="9" t="inlineStr">
        <is>
          <t>AI文書生成</t>
        </is>
      </c>
      <c r="C9" s="9" t="inlineStr">
        <is>
          <t>AIコンテンツ抽出</t>
        </is>
      </c>
      <c r="D9" s="9" t="n">
        <v>15</v>
      </c>
      <c r="E9" s="9" t="n">
        <v>12</v>
      </c>
      <c r="F9" s="9" t="n">
        <v>2</v>
      </c>
      <c r="G9" s="9" t="n">
        <v>1</v>
      </c>
      <c r="H9" s="9" t="n">
        <v>8</v>
      </c>
      <c r="I9" s="9" t="inlineStr">
        <is>
          <t>Figma: AITemplate.tsx + OCR</t>
        </is>
      </c>
    </row>
    <row r="10">
      <c r="A10" s="9" t="inlineStr">
        <is>
          <t>AIBO-007</t>
        </is>
      </c>
      <c r="B10" s="9" t="inlineStr">
        <is>
          <t>AI文書生成</t>
        </is>
      </c>
      <c r="C10" s="9" t="inlineStr">
        <is>
          <t>提案書作成</t>
        </is>
      </c>
      <c r="D10" s="9" t="n">
        <v>10</v>
      </c>
      <c r="E10" s="9" t="n">
        <v>7</v>
      </c>
      <c r="F10" s="9" t="n">
        <v>2</v>
      </c>
      <c r="G10" s="9" t="n">
        <v>1</v>
      </c>
      <c r="H10" s="9" t="n">
        <v>3</v>
      </c>
      <c r="I10" s="9" t="inlineStr">
        <is>
          <t>Figma: AITemplate.tsx</t>
        </is>
      </c>
    </row>
    <row r="11">
      <c r="A11" s="9" t="inlineStr">
        <is>
          <t>AIBO-008</t>
        </is>
      </c>
      <c r="B11" s="9" t="inlineStr">
        <is>
          <t>AI文書生成</t>
        </is>
      </c>
      <c r="C11" s="9" t="inlineStr">
        <is>
          <t>見積書作成</t>
        </is>
      </c>
      <c r="D11" s="9" t="n">
        <v>5</v>
      </c>
      <c r="E11" s="9" t="n">
        <v>3.5</v>
      </c>
      <c r="F11" s="9" t="n">
        <v>1</v>
      </c>
      <c r="G11" s="9" t="n">
        <v>1</v>
      </c>
      <c r="H11" s="9" t="n">
        <v>3</v>
      </c>
      <c r="I11" s="9" t="inlineStr">
        <is>
          <t>Figma: AITemplate.tsx</t>
        </is>
      </c>
    </row>
    <row r="12">
      <c r="A12" s="9" t="inlineStr">
        <is>
          <t>AIBO-009</t>
        </is>
      </c>
      <c r="B12" s="9" t="inlineStr">
        <is>
          <t>AI文書生成</t>
        </is>
      </c>
      <c r="C12" s="9" t="inlineStr">
        <is>
          <t>請求書作成</t>
        </is>
      </c>
      <c r="D12" s="9" t="n">
        <v>5</v>
      </c>
      <c r="E12" s="9" t="n">
        <v>3.5</v>
      </c>
      <c r="F12" s="9" t="n">
        <v>1</v>
      </c>
      <c r="G12" s="9" t="n">
        <v>1</v>
      </c>
      <c r="H12" s="9" t="n">
        <v>3</v>
      </c>
      <c r="I12" s="9" t="inlineStr">
        <is>
          <t>Figma: AITemplate.tsx + JP法務</t>
        </is>
      </c>
    </row>
    <row r="13">
      <c r="A13" s="9" t="inlineStr">
        <is>
          <t>AIBO-010</t>
        </is>
      </c>
      <c r="B13" s="9" t="inlineStr">
        <is>
          <t>AI文書生成</t>
        </is>
      </c>
      <c r="C13" s="9" t="inlineStr">
        <is>
          <t>競合分析</t>
        </is>
      </c>
      <c r="D13" s="9" t="n">
        <v>5</v>
      </c>
      <c r="E13" s="9" t="n">
        <v>3.5</v>
      </c>
      <c r="F13" s="9" t="n">
        <v>0.5</v>
      </c>
      <c r="G13" s="9" t="n">
        <v>1</v>
      </c>
      <c r="H13" s="9" t="n">
        <v>3</v>
      </c>
      <c r="I13" s="9" t="inlineStr">
        <is>
          <t>Figma: AITemplate.tsx + Web検索</t>
        </is>
      </c>
    </row>
    <row r="14">
      <c r="A14" s="9" t="inlineStr">
        <is>
          <t>AIBO-011</t>
        </is>
      </c>
      <c r="B14" s="9" t="inlineStr">
        <is>
          <t>AI設定</t>
        </is>
      </c>
      <c r="C14" s="9" t="inlineStr">
        <is>
          <t>AIテンプレート設定</t>
        </is>
      </c>
      <c r="D14" s="9" t="n">
        <v>8</v>
      </c>
      <c r="E14" s="9" t="n">
        <v>6</v>
      </c>
      <c r="F14" s="9" t="n">
        <v>2</v>
      </c>
      <c r="G14" s="9" t="n">
        <v>2</v>
      </c>
      <c r="H14" s="9" t="n">
        <v>6</v>
      </c>
      <c r="I14" s="9" t="inlineStr">
        <is>
          <t>Figma: AITemplate.tsx</t>
        </is>
      </c>
    </row>
    <row r="15">
      <c r="A15" s="9" t="inlineStr">
        <is>
          <t>AIBO-012</t>
        </is>
      </c>
      <c r="B15" s="9" t="inlineStr">
        <is>
          <t>AI設定</t>
        </is>
      </c>
      <c r="C15" s="9" t="inlineStr">
        <is>
          <t>マーケットプレイス</t>
        </is>
      </c>
      <c r="D15" s="9" t="n">
        <v>0</v>
      </c>
      <c r="E15" s="9" t="n">
        <v>0</v>
      </c>
      <c r="F15" s="9" t="n">
        <v>2.5</v>
      </c>
      <c r="G15" s="9" t="n">
        <v>2.5</v>
      </c>
      <c r="H15" s="9" t="n">
        <v>3</v>
      </c>
      <c r="I15" s="9" t="inlineStr">
        <is>
          <t>Figma: AITemplate.tsx</t>
        </is>
      </c>
    </row>
    <row r="16">
      <c r="A16" t="inlineStr">
        <is>
          <t>AIBO-013</t>
        </is>
      </c>
      <c r="B16" t="inlineStr">
        <is>
          <t>設定</t>
        </is>
      </c>
      <c r="C16" t="inlineStr">
        <is>
          <t>ユーザ情報</t>
        </is>
      </c>
      <c r="D16" t="n">
        <v>0</v>
      </c>
      <c r="E16" t="n">
        <v>0</v>
      </c>
      <c r="F16" t="n">
        <v>0.5</v>
      </c>
      <c r="G16" t="n">
        <v>1</v>
      </c>
      <c r="H16" t="n">
        <v>0.5</v>
      </c>
      <c r="I16" t="inlineStr">
        <is>
          <t>Figma: Settings.tsx</t>
        </is>
      </c>
    </row>
    <row r="17">
      <c r="A17" t="inlineStr">
        <is>
          <t>AIBO-014</t>
        </is>
      </c>
      <c r="B17" t="inlineStr">
        <is>
          <t>設定</t>
        </is>
      </c>
      <c r="C17" t="inlineStr">
        <is>
          <t>料金プラン</t>
        </is>
      </c>
      <c r="D17" t="n">
        <v>0</v>
      </c>
      <c r="E17" t="n">
        <v>0</v>
      </c>
      <c r="F17" t="n">
        <v>2</v>
      </c>
      <c r="G17" t="n">
        <v>2</v>
      </c>
      <c r="H17" t="n">
        <v>1.5</v>
      </c>
      <c r="I17" t="inlineStr">
        <is>
          <t>Figma: Settings.tsx</t>
        </is>
      </c>
    </row>
    <row r="18">
      <c r="A18" t="inlineStr">
        <is>
          <t>AIBO-015</t>
        </is>
      </c>
      <c r="B18" t="inlineStr">
        <is>
          <t>設定</t>
        </is>
      </c>
      <c r="C18" t="inlineStr">
        <is>
          <t>通知設定</t>
        </is>
      </c>
      <c r="D18" t="n">
        <v>0</v>
      </c>
      <c r="E18" t="n">
        <v>0</v>
      </c>
      <c r="F18" t="n">
        <v>0.25</v>
      </c>
      <c r="G18" t="n">
        <v>0.75</v>
      </c>
      <c r="H18" t="n">
        <v>0.25</v>
      </c>
      <c r="I18" t="inlineStr">
        <is>
          <t>Figma: Settings.tsx</t>
        </is>
      </c>
    </row>
    <row r="19">
      <c r="A19" t="inlineStr">
        <is>
          <t>AIBO-016</t>
        </is>
      </c>
      <c r="B19" t="inlineStr">
        <is>
          <t>設定</t>
        </is>
      </c>
      <c r="C19" t="inlineStr">
        <is>
          <t>パスワード変更</t>
        </is>
      </c>
      <c r="D19" t="n">
        <v>0</v>
      </c>
      <c r="E19" t="n">
        <v>0</v>
      </c>
      <c r="F19" t="n">
        <v>0.15</v>
      </c>
      <c r="G19" t="n">
        <v>0.1</v>
      </c>
      <c r="H19" t="n">
        <v>0.1</v>
      </c>
      <c r="I19" t="inlineStr"/>
    </row>
    <row r="20">
      <c r="A20" t="inlineStr">
        <is>
          <t>AIBO-017</t>
        </is>
      </c>
      <c r="B20" t="inlineStr">
        <is>
          <t>お問合せ</t>
        </is>
      </c>
      <c r="C20" t="inlineStr">
        <is>
          <t>お問合せフォーム</t>
        </is>
      </c>
      <c r="D20" t="n">
        <v>0</v>
      </c>
      <c r="E20" t="n">
        <v>0</v>
      </c>
      <c r="F20" t="n">
        <v>0.15</v>
      </c>
      <c r="G20" t="n">
        <v>0.1</v>
      </c>
      <c r="H20" t="n">
        <v>0.1</v>
      </c>
      <c r="I20" t="inlineStr">
        <is>
          <t>Figma: Contact.tsx</t>
        </is>
      </c>
    </row>
    <row r="21">
      <c r="A21" t="inlineStr">
        <is>
          <t>AIBO-018</t>
        </is>
      </c>
      <c r="B21" t="inlineStr">
        <is>
          <t>管理:認証</t>
        </is>
      </c>
      <c r="C21" t="inlineStr">
        <is>
          <t>ログイン・ログアウト</t>
        </is>
      </c>
      <c r="D21" t="n">
        <v>0</v>
      </c>
      <c r="E21" t="n">
        <v>0</v>
      </c>
      <c r="F21" t="n">
        <v>0.3</v>
      </c>
      <c r="G21" t="n">
        <v>0.2</v>
      </c>
      <c r="H21" t="n">
        <v>0.25</v>
      </c>
      <c r="I21" t="inlineStr">
        <is>
          <t>Figma: Settings.tsx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2026-04-02T13:54:58Z</dcterms:created>
  <dcterms:modified xmlns:dcterms="http://purl.org/dc/terms/" xmlns:xsi="http://www.w3.org/2001/XMLSchema-instance" xsi:type="dcterms:W3CDTF">2026-04-02T13:54:58Z</dcterms:modified>
</cp:coreProperties>
</file>